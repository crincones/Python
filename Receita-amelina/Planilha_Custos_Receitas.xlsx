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os\Documents\GitHub\Python\Receita-amelina\"/>
    </mc:Choice>
  </mc:AlternateContent>
  <xr:revisionPtr revIDLastSave="0" documentId="13_ncr:1_{6E58D3BF-1045-42F1-B10D-AC3E2FFE1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. Resumo" sheetId="1" r:id="rId1"/>
    <sheet name="1. Insumos" sheetId="2" r:id="rId2"/>
    <sheet name="2. Café" sheetId="3" r:id="rId3"/>
    <sheet name="3. Cappuccin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4" l="1"/>
  <c r="E27" i="4"/>
  <c r="D12" i="4"/>
  <c r="E12" i="4" s="1"/>
  <c r="D11" i="4"/>
  <c r="E11" i="4" s="1"/>
  <c r="D10" i="4"/>
  <c r="E10" i="4" s="1"/>
  <c r="D9" i="4"/>
  <c r="E9" i="4" s="1"/>
  <c r="D8" i="4"/>
  <c r="E8" i="4" s="1"/>
  <c r="E13" i="4" s="1"/>
  <c r="E32" i="3"/>
  <c r="E25" i="3"/>
  <c r="D17" i="3"/>
  <c r="E17" i="3" s="1"/>
  <c r="D16" i="3"/>
  <c r="E16" i="3" s="1"/>
  <c r="D15" i="3"/>
  <c r="E15" i="3" s="1"/>
  <c r="E18" i="3" s="1"/>
  <c r="D10" i="3"/>
  <c r="E10" i="3" s="1"/>
  <c r="D9" i="3"/>
  <c r="E9" i="3" s="1"/>
  <c r="D8" i="3"/>
  <c r="E8" i="3" s="1"/>
  <c r="E11" i="3" s="1"/>
  <c r="E13" i="2"/>
  <c r="D19" i="4" s="1"/>
  <c r="E19" i="4" s="1"/>
  <c r="E12" i="2"/>
  <c r="D18" i="4" s="1"/>
  <c r="E18" i="4" s="1"/>
  <c r="E11" i="2"/>
  <c r="D17" i="4" s="1"/>
  <c r="E17" i="4" s="1"/>
  <c r="E10" i="2"/>
  <c r="E9" i="2"/>
  <c r="E8" i="2"/>
  <c r="E7" i="2"/>
  <c r="E6" i="2"/>
  <c r="C17" i="1"/>
  <c r="B17" i="1"/>
  <c r="C15" i="1"/>
  <c r="B15" i="1"/>
  <c r="C8" i="1"/>
  <c r="B8" i="1"/>
  <c r="C5" i="1"/>
  <c r="B5" i="1"/>
  <c r="E20" i="4" l="1"/>
  <c r="E30" i="4" s="1"/>
  <c r="E28" i="3"/>
  <c r="C6" i="1" l="1"/>
  <c r="E31" i="4"/>
  <c r="C16" i="1"/>
  <c r="B6" i="1"/>
  <c r="B16" i="1"/>
  <c r="E29" i="3"/>
  <c r="E37" i="4" l="1"/>
  <c r="C7" i="1"/>
  <c r="E33" i="4"/>
  <c r="B7" i="1"/>
  <c r="E35" i="3"/>
  <c r="E31" i="3"/>
  <c r="E36" i="4" l="1"/>
  <c r="E35" i="4"/>
  <c r="C11" i="1"/>
  <c r="C10" i="1"/>
  <c r="C18" i="1"/>
  <c r="C9" i="1"/>
  <c r="E34" i="3"/>
  <c r="E33" i="3"/>
  <c r="B18" i="1"/>
  <c r="B19" i="1" s="1"/>
  <c r="B9" i="1"/>
  <c r="B11" i="1"/>
  <c r="B10" i="1"/>
</calcChain>
</file>

<file path=xl/sharedStrings.xml><?xml version="1.0" encoding="utf-8"?>
<sst xmlns="http://schemas.openxmlformats.org/spreadsheetml/2006/main" count="153" uniqueCount="78">
  <si>
    <t>RESUMO - custo e lucro das receitas</t>
  </si>
  <si>
    <t>Esta aba só mostra resultados. Para mudar preços vá em '1. Insumos'; para mudar quantidades e preço de venda vá nas abas das receitas.</t>
  </si>
  <si>
    <t>Indicador</t>
  </si>
  <si>
    <t>Receita 1 - Café</t>
  </si>
  <si>
    <t>Receita 2 - Cappuccino</t>
  </si>
  <si>
    <t>Rendimento (potes por lote)</t>
  </si>
  <si>
    <t>Custo total do lote</t>
  </si>
  <si>
    <t>CUSTO POR POTE</t>
  </si>
  <si>
    <t>Preço de venda por pote</t>
  </si>
  <si>
    <t>LUCRO POR POTE</t>
  </si>
  <si>
    <t>Lucro do lote</t>
  </si>
  <si>
    <t>Margem de lucro</t>
  </si>
  <si>
    <t>SIMULADOR DE PRODUÇÃO</t>
  </si>
  <si>
    <t>Quantos lotes você vai produzir?</t>
  </si>
  <si>
    <t>&lt;- edite estes dois números (amarelo)</t>
  </si>
  <si>
    <t>Potes produzidos</t>
  </si>
  <si>
    <t>Custo total</t>
  </si>
  <si>
    <t>Faturamento total</t>
  </si>
  <si>
    <t>Lucro total</t>
  </si>
  <si>
    <t>LUCRO TOTAL (as duas receitas somadas)</t>
  </si>
  <si>
    <t>COMO USAR</t>
  </si>
  <si>
    <t>1) Aba '1. Insumos': atualize o preço e o tamanho das embalagens que você compra (células amarelas).</t>
  </si>
  <si>
    <t>2) Abas '2. Café' e '3. Cappuccino': ajuste o rendimento, as quantidades da receita e o PREÇO DE VENDA por pote.</t>
  </si>
  <si>
    <t>3) Se quiser, some gás/energia/mão de obra em 'Outros custos do lote'.</t>
  </si>
  <si>
    <t>4) Volte aqui no Resumo para ver custo por pote, lucro e margem - e simule quantos lotes produzir.</t>
  </si>
  <si>
    <t>REGRA: só edite as células AMARELAS. As cinzas, verdes e laranjas são fórmulas e se atualizam sozinhas.</t>
  </si>
  <si>
    <t>TABELA DE INSUMOS - preços de compra</t>
  </si>
  <si>
    <t>Altere aqui o preço e o tamanho da embalagem que você compra. Todas as receitas recalculam sozinhas.</t>
  </si>
  <si>
    <t>AMARELO = você edita     |     CINZA = calculado automaticamente (não digite)</t>
  </si>
  <si>
    <t>Insumo</t>
  </si>
  <si>
    <t>Preço da embalagem (R$)</t>
  </si>
  <si>
    <t>Qtd. na embalagem</t>
  </si>
  <si>
    <t>Unidade</t>
  </si>
  <si>
    <t>Custo por unidade (R$)</t>
  </si>
  <si>
    <t>Café solúvel</t>
  </si>
  <si>
    <t>g</t>
  </si>
  <si>
    <t>Açúcar</t>
  </si>
  <si>
    <t>Cacau 50%</t>
  </si>
  <si>
    <t>Canela em pó</t>
  </si>
  <si>
    <t>Água</t>
  </si>
  <si>
    <t>ml</t>
  </si>
  <si>
    <t>Pote de vidro</t>
  </si>
  <si>
    <t>un</t>
  </si>
  <si>
    <t>Adesivo frente</t>
  </si>
  <si>
    <t>Adesivo verso</t>
  </si>
  <si>
    <t>A água não entra no custo (preço R$ 0,00). Se quiser considerá-la, basta preencher o preço acima.</t>
  </si>
  <si>
    <t>RECEITA 1 - CAFÉ (tradicional)</t>
  </si>
  <si>
    <t>AMARELO = você edita     |     CINZA / VERDE / LARANJA = calculado automaticamente</t>
  </si>
  <si>
    <t>Rendimento do lote (potes)</t>
  </si>
  <si>
    <t>&lt;- quantos potes saem de uma receita</t>
  </si>
  <si>
    <t>INGREDIENTES (quantidade para o lote inteiro)</t>
  </si>
  <si>
    <t>Ingrediente</t>
  </si>
  <si>
    <t>Qtd. no lote</t>
  </si>
  <si>
    <t>Custo unitário (R$)</t>
  </si>
  <si>
    <t>Custo no lote (R$)</t>
  </si>
  <si>
    <t>Subtotal ingredientes (lote)</t>
  </si>
  <si>
    <t>EMBALAGEM E RÓTULOS (por pote)</t>
  </si>
  <si>
    <t>Item</t>
  </si>
  <si>
    <t>Qtd. por pote</t>
  </si>
  <si>
    <t>Subtotal embalagem (lote)</t>
  </si>
  <si>
    <t>OUTROS CUSTOS DO LOTE (opcional)</t>
  </si>
  <si>
    <t>Descrição</t>
  </si>
  <si>
    <t>Valor no lote (R$)</t>
  </si>
  <si>
    <t>Gás / energia</t>
  </si>
  <si>
    <t>Mão de obra</t>
  </si>
  <si>
    <t>Outros</t>
  </si>
  <si>
    <t>Subtotal outros custos (lote)</t>
  </si>
  <si>
    <t>RESULTADO</t>
  </si>
  <si>
    <t>CUSTO TOTAL DO LOTE</t>
  </si>
  <si>
    <t>PREÇO DE VENDA POR POTE</t>
  </si>
  <si>
    <t>&lt;- digite aqui o preço que você cobra</t>
  </si>
  <si>
    <t>Lucro por pote</t>
  </si>
  <si>
    <t>Faturamento do lote</t>
  </si>
  <si>
    <t>Margem de lucro (%)</t>
  </si>
  <si>
    <t>lucro sobre o preço de venda</t>
  </si>
  <si>
    <t>Markup (multiplicador)</t>
  </si>
  <si>
    <t>quantas vezes o custo</t>
  </si>
  <si>
    <t>RECEITA 2 - CAPPUCCINO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</si>
</sst>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#,##0.###"/>
    <numFmt numFmtId="166" formatCode="\R\$\ #,##0.0000"/>
    <numFmt numFmtId="167" formatCode="0.0%"/>
    <numFmt numFmtId="168" formatCode="0.00&quot;x&quot;"/>
  </numFmts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0"/>
      <color rgb="FF7F600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F3864"/>
      <name val="Calibri"/>
    </font>
    <font>
      <b/>
      <sz val="12"/>
      <color rgb="FF1F3864"/>
      <name val="Calibri"/>
    </font>
    <font>
      <sz val="10"/>
      <color rgb="FF404040"/>
      <name val="Calibri"/>
    </font>
    <font>
      <b/>
      <sz val="11"/>
      <color theme="1"/>
      <name val="Calibri"/>
      <family val="2"/>
      <scheme val="minor"/>
    </font>
    <font>
      <b/>
      <sz val="10"/>
      <color rgb="FF40404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167" fontId="7" fillId="7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4" fillId="2" borderId="1" xfId="0" applyFont="1" applyFill="1" applyBorder="1"/>
    <xf numFmtId="165" fontId="5" fillId="3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0" fontId="0" fillId="6" borderId="1" xfId="0" applyFill="1" applyBorder="1"/>
    <xf numFmtId="0" fontId="3" fillId="0" borderId="0" xfId="0" applyFont="1"/>
    <xf numFmtId="0" fontId="5" fillId="0" borderId="1" xfId="0" applyFont="1" applyBorder="1"/>
    <xf numFmtId="164" fontId="0" fillId="3" borderId="1" xfId="0" applyNumberFormat="1" applyFill="1" applyBorder="1"/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4" borderId="1" xfId="0" applyNumberFormat="1" applyFill="1" applyBorder="1"/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/>
    <xf numFmtId="0" fontId="5" fillId="4" borderId="1" xfId="0" applyFont="1" applyFill="1" applyBorder="1"/>
    <xf numFmtId="0" fontId="0" fillId="4" borderId="1" xfId="0" applyFill="1" applyBorder="1"/>
    <xf numFmtId="164" fontId="5" fillId="4" borderId="1" xfId="0" applyNumberFormat="1" applyFont="1" applyFill="1" applyBorder="1"/>
    <xf numFmtId="0" fontId="0" fillId="3" borderId="1" xfId="0" applyFill="1" applyBorder="1"/>
    <xf numFmtId="164" fontId="7" fillId="6" borderId="1" xfId="0" applyNumberFormat="1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7" fillId="7" borderId="1" xfId="0" applyFont="1" applyFill="1" applyBorder="1"/>
    <xf numFmtId="0" fontId="0" fillId="7" borderId="1" xfId="0" applyFill="1" applyBorder="1"/>
    <xf numFmtId="164" fontId="7" fillId="7" borderId="1" xfId="0" applyNumberFormat="1" applyFont="1" applyFill="1" applyBorder="1"/>
    <xf numFmtId="167" fontId="7" fillId="7" borderId="1" xfId="0" applyNumberFormat="1" applyFont="1" applyFill="1" applyBorder="1"/>
    <xf numFmtId="168" fontId="5" fillId="4" borderId="1" xfId="0" applyNumberFormat="1" applyFont="1" applyFill="1" applyBorder="1"/>
    <xf numFmtId="0" fontId="2" fillId="8" borderId="0" xfId="0" applyFont="1" applyFill="1"/>
    <xf numFmtId="0" fontId="0" fillId="8" borderId="0" xfId="0" applyFill="1"/>
    <xf numFmtId="0" fontId="6" fillId="8" borderId="0" xfId="0" applyFont="1" applyFill="1"/>
    <xf numFmtId="0" fontId="8" fillId="8" borderId="0" xfId="0" applyFont="1" applyFill="1"/>
    <xf numFmtId="0" fontId="3" fillId="8" borderId="0" xfId="0" applyFont="1" applyFill="1"/>
    <xf numFmtId="0" fontId="10" fillId="8" borderId="0" xfId="0" applyFont="1" applyFill="1"/>
    <xf numFmtId="0" fontId="9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26"/>
  <sheetViews>
    <sheetView showGridLines="0" tabSelected="1" workbookViewId="0">
      <pane ySplit="4" topLeftCell="A5" activePane="bottomLeft" state="frozen"/>
      <selection pane="bottomLeft" activeCell="F19" sqref="F19"/>
    </sheetView>
  </sheetViews>
  <sheetFormatPr defaultRowHeight="15" x14ac:dyDescent="0.25"/>
  <cols>
    <col min="1" max="1" width="40" customWidth="1"/>
    <col min="2" max="2" width="22" customWidth="1"/>
    <col min="3" max="3" width="24" customWidth="1"/>
    <col min="4" max="4" width="36" customWidth="1"/>
  </cols>
  <sheetData>
    <row r="1" spans="1:4" ht="21" x14ac:dyDescent="0.35">
      <c r="A1" s="1" t="s">
        <v>0</v>
      </c>
    </row>
    <row r="2" spans="1:4" x14ac:dyDescent="0.25">
      <c r="A2" s="37" t="s">
        <v>1</v>
      </c>
      <c r="B2" s="38"/>
      <c r="C2" s="38"/>
      <c r="D2" s="38"/>
    </row>
    <row r="4" spans="1:4" x14ac:dyDescent="0.25">
      <c r="A4" s="3" t="s">
        <v>2</v>
      </c>
      <c r="B4" s="3" t="s">
        <v>3</v>
      </c>
      <c r="C4" s="3" t="s">
        <v>4</v>
      </c>
    </row>
    <row r="5" spans="1:4" x14ac:dyDescent="0.25">
      <c r="A5" s="4" t="s">
        <v>5</v>
      </c>
      <c r="B5" s="5">
        <f>'2. Café'!$B$4</f>
        <v>4</v>
      </c>
      <c r="C5" s="5">
        <f>'3. Cappuccino'!$B$4</f>
        <v>4</v>
      </c>
    </row>
    <row r="6" spans="1:4" x14ac:dyDescent="0.25">
      <c r="A6" s="4" t="s">
        <v>6</v>
      </c>
      <c r="B6" s="6">
        <f>'2. Café'!$E$28</f>
        <v>29.03875</v>
      </c>
      <c r="C6" s="6">
        <f>'3. Cappuccino'!$E$30</f>
        <v>36.037750000000003</v>
      </c>
    </row>
    <row r="7" spans="1:4" ht="15.75" x14ac:dyDescent="0.25">
      <c r="A7" s="4" t="s">
        <v>7</v>
      </c>
      <c r="B7" s="7">
        <f>'2. Café'!$E$29</f>
        <v>7.2596875000000001</v>
      </c>
      <c r="C7" s="7">
        <f>'3. Cappuccino'!$E$31</f>
        <v>9.0094375000000007</v>
      </c>
    </row>
    <row r="8" spans="1:4" x14ac:dyDescent="0.25">
      <c r="A8" s="4" t="s">
        <v>8</v>
      </c>
      <c r="B8" s="6">
        <f>'2. Café'!$E$30</f>
        <v>25</v>
      </c>
      <c r="C8" s="6">
        <f>'3. Cappuccino'!$E$32</f>
        <v>25</v>
      </c>
    </row>
    <row r="9" spans="1:4" ht="15.75" x14ac:dyDescent="0.25">
      <c r="A9" s="4" t="s">
        <v>9</v>
      </c>
      <c r="B9" s="8">
        <f>'2. Café'!$E$31</f>
        <v>17.740312500000002</v>
      </c>
      <c r="C9" s="8">
        <f>'3. Cappuccino'!$E$33</f>
        <v>15.990562499999999</v>
      </c>
    </row>
    <row r="10" spans="1:4" ht="15.75" x14ac:dyDescent="0.25">
      <c r="A10" s="9" t="s">
        <v>10</v>
      </c>
      <c r="B10" s="8">
        <f>'2. Café'!$E$31*'2. Café'!$B$4</f>
        <v>70.961250000000007</v>
      </c>
      <c r="C10" s="8">
        <f>'3. Cappuccino'!$E$33*'3. Cappuccino'!$B$4</f>
        <v>63.962249999999997</v>
      </c>
    </row>
    <row r="11" spans="1:4" ht="15.75" x14ac:dyDescent="0.25">
      <c r="A11" s="9" t="s">
        <v>11</v>
      </c>
      <c r="B11" s="10">
        <f>IF('2. Café'!$E$30=0,0,'2. Café'!$E$31/'2. Café'!$E$30)</f>
        <v>0.70961250000000009</v>
      </c>
      <c r="C11" s="10">
        <f>IF('3. Cappuccino'!$E$32=0,0,'3. Cappuccino'!$E$33/'3. Cappuccino'!$E$32)</f>
        <v>0.63962249999999998</v>
      </c>
    </row>
    <row r="13" spans="1:4" x14ac:dyDescent="0.25">
      <c r="A13" s="4" t="s">
        <v>12</v>
      </c>
      <c r="B13" s="11"/>
      <c r="C13" s="11"/>
    </row>
    <row r="14" spans="1:4" x14ac:dyDescent="0.25">
      <c r="A14" s="12" t="s">
        <v>13</v>
      </c>
      <c r="B14" s="13">
        <v>1</v>
      </c>
      <c r="C14" s="13">
        <v>1</v>
      </c>
      <c r="D14" s="2" t="s">
        <v>14</v>
      </c>
    </row>
    <row r="15" spans="1:4" x14ac:dyDescent="0.25">
      <c r="A15" s="4" t="s">
        <v>15</v>
      </c>
      <c r="B15" s="5">
        <f>'2. Café'!$B$4*B$14</f>
        <v>4</v>
      </c>
      <c r="C15" s="5">
        <f>'3. Cappuccino'!$B$4*C$14</f>
        <v>4</v>
      </c>
    </row>
    <row r="16" spans="1:4" x14ac:dyDescent="0.25">
      <c r="A16" s="4" t="s">
        <v>16</v>
      </c>
      <c r="B16" s="6">
        <f>'2. Café'!$E$28*B$14</f>
        <v>29.03875</v>
      </c>
      <c r="C16" s="6">
        <f>'3. Cappuccino'!$E$30*C$14</f>
        <v>36.037750000000003</v>
      </c>
    </row>
    <row r="17" spans="1:4" x14ac:dyDescent="0.25">
      <c r="A17" s="4" t="s">
        <v>17</v>
      </c>
      <c r="B17" s="6">
        <f>'2. Café'!$E$30*'2. Café'!$B$4*B$14</f>
        <v>100</v>
      </c>
      <c r="C17" s="6">
        <f>'3. Cappuccino'!$E$32*'3. Cappuccino'!$B$4*C$14</f>
        <v>100</v>
      </c>
    </row>
    <row r="18" spans="1:4" ht="15.75" x14ac:dyDescent="0.25">
      <c r="A18" s="4" t="s">
        <v>18</v>
      </c>
      <c r="B18" s="8">
        <f>'2. Café'!$E$31*'2. Café'!$B$4*B$14</f>
        <v>70.961250000000007</v>
      </c>
      <c r="C18" s="8">
        <f>'3. Cappuccino'!$E$33*'3. Cappuccino'!$B$4*C$14</f>
        <v>63.962249999999997</v>
      </c>
    </row>
    <row r="19" spans="1:4" ht="15.75" x14ac:dyDescent="0.25">
      <c r="A19" s="14" t="s">
        <v>19</v>
      </c>
      <c r="B19" s="7">
        <f>B18+C18</f>
        <v>134.92349999999999</v>
      </c>
      <c r="C19" s="15"/>
    </row>
    <row r="21" spans="1:4" x14ac:dyDescent="0.25">
      <c r="A21" s="39" t="s">
        <v>20</v>
      </c>
      <c r="B21" s="38"/>
      <c r="C21" s="38"/>
      <c r="D21" s="38"/>
    </row>
    <row r="22" spans="1:4" x14ac:dyDescent="0.25">
      <c r="A22" s="40" t="s">
        <v>21</v>
      </c>
      <c r="B22" s="38"/>
      <c r="C22" s="38"/>
      <c r="D22" s="38"/>
    </row>
    <row r="23" spans="1:4" x14ac:dyDescent="0.25">
      <c r="A23" s="40" t="s">
        <v>22</v>
      </c>
      <c r="B23" s="38"/>
      <c r="C23" s="38"/>
      <c r="D23" s="38"/>
    </row>
    <row r="24" spans="1:4" x14ac:dyDescent="0.25">
      <c r="A24" s="40" t="s">
        <v>23</v>
      </c>
      <c r="B24" s="38"/>
      <c r="C24" s="38"/>
      <c r="D24" s="38"/>
    </row>
    <row r="25" spans="1:4" x14ac:dyDescent="0.25">
      <c r="A25" s="40" t="s">
        <v>24</v>
      </c>
      <c r="B25" s="38"/>
      <c r="C25" s="38"/>
      <c r="D25" s="38"/>
    </row>
    <row r="26" spans="1:4" x14ac:dyDescent="0.25">
      <c r="A26" s="42" t="s">
        <v>25</v>
      </c>
      <c r="B26" s="43"/>
      <c r="C26" s="43"/>
      <c r="D26" s="3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pane ySplit="5" topLeftCell="A6" activePane="bottomLeft" state="frozen"/>
      <selection pane="bottomLeft" activeCell="C21" sqref="C21"/>
    </sheetView>
  </sheetViews>
  <sheetFormatPr defaultRowHeight="15" x14ac:dyDescent="0.25"/>
  <cols>
    <col min="1" max="2" width="24" customWidth="1"/>
    <col min="3" max="3" width="20" customWidth="1"/>
    <col min="4" max="4" width="12" customWidth="1"/>
    <col min="5" max="5" width="22" customWidth="1"/>
  </cols>
  <sheetData>
    <row r="1" spans="1:5" ht="21" x14ac:dyDescent="0.35">
      <c r="A1" s="1" t="s">
        <v>26</v>
      </c>
    </row>
    <row r="2" spans="1:5" x14ac:dyDescent="0.25">
      <c r="A2" s="2" t="s">
        <v>27</v>
      </c>
    </row>
    <row r="3" spans="1:5" x14ac:dyDescent="0.25">
      <c r="A3" s="16" t="s">
        <v>28</v>
      </c>
    </row>
    <row r="5" spans="1:5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</row>
    <row r="6" spans="1:5" x14ac:dyDescent="0.25">
      <c r="A6" s="17" t="s">
        <v>34</v>
      </c>
      <c r="B6" s="18">
        <v>11.24</v>
      </c>
      <c r="C6" s="19">
        <v>50</v>
      </c>
      <c r="D6" s="20" t="s">
        <v>35</v>
      </c>
      <c r="E6" s="21">
        <f t="shared" ref="E6:E13" si="0">IF(C6=0,0,B6/C6)</f>
        <v>0.2248</v>
      </c>
    </row>
    <row r="7" spans="1:5" x14ac:dyDescent="0.25">
      <c r="A7" s="17" t="s">
        <v>36</v>
      </c>
      <c r="B7" s="18">
        <v>7.99</v>
      </c>
      <c r="C7" s="19">
        <v>2000</v>
      </c>
      <c r="D7" s="20" t="s">
        <v>35</v>
      </c>
      <c r="E7" s="21">
        <f t="shared" si="0"/>
        <v>3.9950000000000003E-3</v>
      </c>
    </row>
    <row r="8" spans="1:5" x14ac:dyDescent="0.25">
      <c r="A8" s="17" t="s">
        <v>37</v>
      </c>
      <c r="B8" s="18">
        <v>35</v>
      </c>
      <c r="C8" s="19">
        <v>200</v>
      </c>
      <c r="D8" s="20" t="s">
        <v>35</v>
      </c>
      <c r="E8" s="21">
        <f t="shared" si="0"/>
        <v>0.17499999999999999</v>
      </c>
    </row>
    <row r="9" spans="1:5" x14ac:dyDescent="0.25">
      <c r="A9" s="17" t="s">
        <v>38</v>
      </c>
      <c r="B9" s="18">
        <v>6.99</v>
      </c>
      <c r="C9" s="19">
        <v>20</v>
      </c>
      <c r="D9" s="20" t="s">
        <v>35</v>
      </c>
      <c r="E9" s="21">
        <f t="shared" si="0"/>
        <v>0.34950000000000003</v>
      </c>
    </row>
    <row r="10" spans="1:5" x14ac:dyDescent="0.25">
      <c r="A10" s="17" t="s">
        <v>39</v>
      </c>
      <c r="B10" s="18">
        <v>0</v>
      </c>
      <c r="C10" s="19">
        <v>1000</v>
      </c>
      <c r="D10" s="20" t="s">
        <v>40</v>
      </c>
      <c r="E10" s="21">
        <f t="shared" si="0"/>
        <v>0</v>
      </c>
    </row>
    <row r="11" spans="1:5" x14ac:dyDescent="0.25">
      <c r="A11" s="17" t="s">
        <v>41</v>
      </c>
      <c r="B11" s="18">
        <v>3.45</v>
      </c>
      <c r="C11" s="19">
        <v>1</v>
      </c>
      <c r="D11" s="20" t="s">
        <v>42</v>
      </c>
      <c r="E11" s="21">
        <f t="shared" si="0"/>
        <v>3.45</v>
      </c>
    </row>
    <row r="12" spans="1:5" x14ac:dyDescent="0.25">
      <c r="A12" s="17" t="s">
        <v>43</v>
      </c>
      <c r="B12" s="18">
        <v>0.44</v>
      </c>
      <c r="C12" s="19">
        <v>1</v>
      </c>
      <c r="D12" s="20" t="s">
        <v>42</v>
      </c>
      <c r="E12" s="21">
        <f t="shared" si="0"/>
        <v>0.44</v>
      </c>
    </row>
    <row r="13" spans="1:5" x14ac:dyDescent="0.25">
      <c r="A13" s="17" t="s">
        <v>44</v>
      </c>
      <c r="B13" s="18">
        <v>0.31</v>
      </c>
      <c r="C13" s="19">
        <v>1</v>
      </c>
      <c r="D13" s="20" t="s">
        <v>42</v>
      </c>
      <c r="E13" s="21">
        <f t="shared" si="0"/>
        <v>0.31</v>
      </c>
    </row>
    <row r="15" spans="1:5" x14ac:dyDescent="0.25">
      <c r="A15" s="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F35"/>
  <sheetViews>
    <sheetView showGridLines="0" workbookViewId="0">
      <pane ySplit="4" topLeftCell="A5" activePane="bottomLeft" state="frozen"/>
      <selection pane="bottomLeft" activeCell="F9" sqref="F9"/>
    </sheetView>
  </sheetViews>
  <sheetFormatPr defaultRowHeight="15" x14ac:dyDescent="0.25"/>
  <cols>
    <col min="1" max="1" width="34" customWidth="1"/>
    <col min="2" max="2" width="16" customWidth="1"/>
    <col min="3" max="3" width="12" customWidth="1"/>
    <col min="4" max="4" width="20" customWidth="1"/>
    <col min="5" max="5" width="22" customWidth="1"/>
    <col min="6" max="6" width="38" customWidth="1"/>
  </cols>
  <sheetData>
    <row r="1" spans="1:5" ht="21" x14ac:dyDescent="0.35">
      <c r="A1" s="1" t="s">
        <v>46</v>
      </c>
    </row>
    <row r="2" spans="1:5" x14ac:dyDescent="0.25">
      <c r="A2" s="41" t="s">
        <v>47</v>
      </c>
      <c r="B2" s="38"/>
      <c r="C2" s="38"/>
      <c r="D2" s="38"/>
    </row>
    <row r="4" spans="1:5" x14ac:dyDescent="0.25">
      <c r="A4" s="4" t="s">
        <v>48</v>
      </c>
      <c r="B4" s="13">
        <v>4</v>
      </c>
      <c r="C4" s="2" t="s">
        <v>49</v>
      </c>
    </row>
    <row r="6" spans="1:5" x14ac:dyDescent="0.25">
      <c r="A6" s="4" t="s">
        <v>50</v>
      </c>
      <c r="B6" s="11"/>
      <c r="C6" s="11"/>
      <c r="D6" s="11"/>
      <c r="E6" s="11"/>
    </row>
    <row r="7" spans="1:5" x14ac:dyDescent="0.25">
      <c r="A7" s="3" t="s">
        <v>51</v>
      </c>
      <c r="B7" s="3" t="s">
        <v>52</v>
      </c>
      <c r="C7" s="3" t="s">
        <v>32</v>
      </c>
      <c r="D7" s="3" t="s">
        <v>53</v>
      </c>
      <c r="E7" s="3" t="s">
        <v>54</v>
      </c>
    </row>
    <row r="8" spans="1:5" x14ac:dyDescent="0.25">
      <c r="A8" s="22" t="s">
        <v>34</v>
      </c>
      <c r="B8" s="19">
        <v>50</v>
      </c>
      <c r="C8" s="23" t="s">
        <v>35</v>
      </c>
      <c r="D8" s="21">
        <f>IFERROR(VLOOKUP($A8,'1. Insumos'!$A$6:$E$13,5,FALSE),0)</f>
        <v>0.2248</v>
      </c>
      <c r="E8" s="24">
        <f>B8*D8</f>
        <v>11.24</v>
      </c>
    </row>
    <row r="9" spans="1:5" x14ac:dyDescent="0.25">
      <c r="A9" s="22" t="s">
        <v>36</v>
      </c>
      <c r="B9" s="19">
        <v>250</v>
      </c>
      <c r="C9" s="23" t="s">
        <v>35</v>
      </c>
      <c r="D9" s="21">
        <f>IFERROR(VLOOKUP($A9,'1. Insumos'!$A$6:$E$13,5,FALSE),0)</f>
        <v>3.9950000000000003E-3</v>
      </c>
      <c r="E9" s="24">
        <f>B9*D9</f>
        <v>0.99875000000000003</v>
      </c>
    </row>
    <row r="10" spans="1:5" x14ac:dyDescent="0.25">
      <c r="A10" s="22" t="s">
        <v>39</v>
      </c>
      <c r="B10" s="19">
        <v>150</v>
      </c>
      <c r="C10" s="23" t="s">
        <v>40</v>
      </c>
      <c r="D10" s="21">
        <f>IFERROR(VLOOKUP($A10,'1. Insumos'!$A$6:$E$13,5,FALSE),0)</f>
        <v>0</v>
      </c>
      <c r="E10" s="24">
        <f>B10*D10</f>
        <v>0</v>
      </c>
    </row>
    <row r="11" spans="1:5" x14ac:dyDescent="0.25">
      <c r="A11" s="25" t="s">
        <v>55</v>
      </c>
      <c r="B11" s="26"/>
      <c r="C11" s="26"/>
      <c r="D11" s="26"/>
      <c r="E11" s="27">
        <f>SUM(E8:E10)</f>
        <v>12.23875</v>
      </c>
    </row>
    <row r="13" spans="1:5" x14ac:dyDescent="0.25">
      <c r="A13" s="4" t="s">
        <v>56</v>
      </c>
      <c r="B13" s="11"/>
      <c r="C13" s="11"/>
      <c r="D13" s="11"/>
      <c r="E13" s="11"/>
    </row>
    <row r="14" spans="1:5" x14ac:dyDescent="0.25">
      <c r="A14" s="3" t="s">
        <v>57</v>
      </c>
      <c r="B14" s="3" t="s">
        <v>58</v>
      </c>
      <c r="C14" s="3" t="s">
        <v>32</v>
      </c>
      <c r="D14" s="3" t="s">
        <v>53</v>
      </c>
      <c r="E14" s="3" t="s">
        <v>54</v>
      </c>
    </row>
    <row r="15" spans="1:5" x14ac:dyDescent="0.25">
      <c r="A15" s="22" t="s">
        <v>41</v>
      </c>
      <c r="B15" s="19">
        <v>1</v>
      </c>
      <c r="C15" s="23" t="s">
        <v>42</v>
      </c>
      <c r="D15" s="21">
        <f>IFERROR(VLOOKUP($A15,'1. Insumos'!$A$6:$E$13,5,FALSE),0)</f>
        <v>3.45</v>
      </c>
      <c r="E15" s="24">
        <f>B15*D15*$B$4</f>
        <v>13.8</v>
      </c>
    </row>
    <row r="16" spans="1:5" x14ac:dyDescent="0.25">
      <c r="A16" s="22" t="s">
        <v>43</v>
      </c>
      <c r="B16" s="19">
        <v>1</v>
      </c>
      <c r="C16" s="23" t="s">
        <v>42</v>
      </c>
      <c r="D16" s="21">
        <f>IFERROR(VLOOKUP($A16,'1. Insumos'!$A$6:$E$13,5,FALSE),0)</f>
        <v>0.44</v>
      </c>
      <c r="E16" s="24">
        <f>B16*D16*$B$4</f>
        <v>1.76</v>
      </c>
    </row>
    <row r="17" spans="1:6" x14ac:dyDescent="0.25">
      <c r="A17" s="22" t="s">
        <v>44</v>
      </c>
      <c r="B17" s="19">
        <v>1</v>
      </c>
      <c r="C17" s="23" t="s">
        <v>42</v>
      </c>
      <c r="D17" s="21">
        <f>IFERROR(VLOOKUP($A17,'1. Insumos'!$A$6:$E$13,5,FALSE),0)</f>
        <v>0.31</v>
      </c>
      <c r="E17" s="24">
        <f>B17*D17*$B$4</f>
        <v>1.24</v>
      </c>
    </row>
    <row r="18" spans="1:6" x14ac:dyDescent="0.25">
      <c r="A18" s="25" t="s">
        <v>59</v>
      </c>
      <c r="B18" s="26"/>
      <c r="C18" s="26"/>
      <c r="D18" s="26"/>
      <c r="E18" s="27">
        <f>SUM(E15:E17)</f>
        <v>16.8</v>
      </c>
    </row>
    <row r="20" spans="1:6" x14ac:dyDescent="0.25">
      <c r="A20" s="4" t="s">
        <v>60</v>
      </c>
      <c r="B20" s="11"/>
      <c r="C20" s="11"/>
      <c r="D20" s="11"/>
      <c r="E20" s="11"/>
    </row>
    <row r="21" spans="1:6" x14ac:dyDescent="0.25">
      <c r="A21" s="3" t="s">
        <v>61</v>
      </c>
      <c r="B21" s="3"/>
      <c r="C21" s="3"/>
      <c r="D21" s="3"/>
      <c r="E21" s="3" t="s">
        <v>62</v>
      </c>
    </row>
    <row r="22" spans="1:6" x14ac:dyDescent="0.25">
      <c r="A22" s="28" t="s">
        <v>63</v>
      </c>
      <c r="B22" s="26"/>
      <c r="C22" s="26"/>
      <c r="D22" s="26"/>
      <c r="E22" s="18">
        <v>0</v>
      </c>
    </row>
    <row r="23" spans="1:6" x14ac:dyDescent="0.25">
      <c r="A23" s="28" t="s">
        <v>64</v>
      </c>
      <c r="B23" s="26"/>
      <c r="C23" s="26"/>
      <c r="D23" s="26"/>
      <c r="E23" s="18">
        <v>0</v>
      </c>
    </row>
    <row r="24" spans="1:6" x14ac:dyDescent="0.25">
      <c r="A24" s="28" t="s">
        <v>65</v>
      </c>
      <c r="B24" s="26"/>
      <c r="C24" s="26"/>
      <c r="D24" s="26"/>
      <c r="E24" s="18">
        <v>0</v>
      </c>
    </row>
    <row r="25" spans="1:6" x14ac:dyDescent="0.25">
      <c r="A25" s="25" t="s">
        <v>66</v>
      </c>
      <c r="B25" s="26"/>
      <c r="C25" s="26"/>
      <c r="D25" s="26"/>
      <c r="E25" s="27">
        <f>SUM(E22:E24)</f>
        <v>0</v>
      </c>
    </row>
    <row r="27" spans="1:6" x14ac:dyDescent="0.25">
      <c r="A27" s="4" t="s">
        <v>67</v>
      </c>
      <c r="B27" s="11"/>
      <c r="C27" s="11"/>
      <c r="D27" s="11"/>
      <c r="E27" s="11"/>
    </row>
    <row r="28" spans="1:6" ht="15.75" x14ac:dyDescent="0.25">
      <c r="A28" s="14" t="s">
        <v>68</v>
      </c>
      <c r="B28" s="15"/>
      <c r="C28" s="15"/>
      <c r="D28" s="15"/>
      <c r="E28" s="29">
        <f>$E$11+$E$18+$E$25</f>
        <v>29.03875</v>
      </c>
    </row>
    <row r="29" spans="1:6" ht="15.75" x14ac:dyDescent="0.25">
      <c r="A29" s="14" t="s">
        <v>7</v>
      </c>
      <c r="B29" s="15"/>
      <c r="C29" s="15"/>
      <c r="D29" s="15"/>
      <c r="E29" s="29">
        <f>IF($B$4=0,0,$E$28/$B$4)</f>
        <v>7.2596875000000001</v>
      </c>
    </row>
    <row r="30" spans="1:6" ht="15.75" x14ac:dyDescent="0.25">
      <c r="A30" s="30" t="s">
        <v>69</v>
      </c>
      <c r="B30" s="28"/>
      <c r="C30" s="28"/>
      <c r="D30" s="28"/>
      <c r="E30" s="31">
        <v>25</v>
      </c>
      <c r="F30" s="2" t="s">
        <v>70</v>
      </c>
    </row>
    <row r="31" spans="1:6" ht="15.75" x14ac:dyDescent="0.25">
      <c r="A31" s="32" t="s">
        <v>71</v>
      </c>
      <c r="B31" s="33"/>
      <c r="C31" s="33"/>
      <c r="D31" s="33"/>
      <c r="E31" s="34">
        <f>$E$30-$E$29</f>
        <v>17.740312500000002</v>
      </c>
    </row>
    <row r="32" spans="1:6" x14ac:dyDescent="0.25">
      <c r="A32" s="25" t="s">
        <v>72</v>
      </c>
      <c r="B32" s="26"/>
      <c r="C32" s="26"/>
      <c r="D32" s="26"/>
      <c r="E32" s="27">
        <f>$E$30*$B$4</f>
        <v>100</v>
      </c>
    </row>
    <row r="33" spans="1:6" ht="15.75" x14ac:dyDescent="0.25">
      <c r="A33" s="32" t="s">
        <v>10</v>
      </c>
      <c r="B33" s="33"/>
      <c r="C33" s="33"/>
      <c r="D33" s="33"/>
      <c r="E33" s="34">
        <f>$E$31*$B$4</f>
        <v>70.961250000000007</v>
      </c>
    </row>
    <row r="34" spans="1:6" ht="15.75" x14ac:dyDescent="0.25">
      <c r="A34" s="32" t="s">
        <v>73</v>
      </c>
      <c r="B34" s="33"/>
      <c r="C34" s="33"/>
      <c r="D34" s="33"/>
      <c r="E34" s="35">
        <f>IF($E$30=0,0,$E$31/$E$30)</f>
        <v>0.70961250000000009</v>
      </c>
      <c r="F34" s="2" t="s">
        <v>74</v>
      </c>
    </row>
    <row r="35" spans="1:6" x14ac:dyDescent="0.25">
      <c r="A35" s="25" t="s">
        <v>75</v>
      </c>
      <c r="B35" s="26"/>
      <c r="C35" s="26"/>
      <c r="D35" s="26"/>
      <c r="E35" s="36">
        <f>IF($E$29=0,0,$E$30/$E$29)</f>
        <v>3.4436744005854245</v>
      </c>
      <c r="F35" s="2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</sheetPr>
  <dimension ref="A1:F37"/>
  <sheetViews>
    <sheetView showGridLines="0" workbookViewId="0">
      <pane ySplit="4" topLeftCell="A5" activePane="bottomLeft" state="frozen"/>
      <selection pane="bottomLeft" activeCell="A2" sqref="A2:D2"/>
    </sheetView>
  </sheetViews>
  <sheetFormatPr defaultRowHeight="15" x14ac:dyDescent="0.25"/>
  <cols>
    <col min="1" max="1" width="34" customWidth="1"/>
    <col min="2" max="2" width="16" customWidth="1"/>
    <col min="3" max="3" width="12" customWidth="1"/>
    <col min="4" max="4" width="20" customWidth="1"/>
    <col min="5" max="5" width="22" customWidth="1"/>
    <col min="6" max="6" width="38" customWidth="1"/>
  </cols>
  <sheetData>
    <row r="1" spans="1:5" ht="21" x14ac:dyDescent="0.35">
      <c r="A1" s="1" t="s">
        <v>77</v>
      </c>
    </row>
    <row r="2" spans="1:5" x14ac:dyDescent="0.25">
      <c r="A2" s="41" t="s">
        <v>47</v>
      </c>
      <c r="B2" s="38"/>
      <c r="C2" s="38"/>
      <c r="D2" s="38"/>
    </row>
    <row r="4" spans="1:5" x14ac:dyDescent="0.25">
      <c r="A4" s="4" t="s">
        <v>48</v>
      </c>
      <c r="B4" s="13">
        <v>4</v>
      </c>
      <c r="C4" s="2" t="s">
        <v>49</v>
      </c>
    </row>
    <row r="6" spans="1:5" x14ac:dyDescent="0.25">
      <c r="A6" s="4" t="s">
        <v>50</v>
      </c>
      <c r="B6" s="11"/>
      <c r="C6" s="11"/>
      <c r="D6" s="11"/>
      <c r="E6" s="11"/>
    </row>
    <row r="7" spans="1:5" x14ac:dyDescent="0.25">
      <c r="A7" s="3" t="s">
        <v>51</v>
      </c>
      <c r="B7" s="3" t="s">
        <v>52</v>
      </c>
      <c r="C7" s="3" t="s">
        <v>32</v>
      </c>
      <c r="D7" s="3" t="s">
        <v>53</v>
      </c>
      <c r="E7" s="3" t="s">
        <v>54</v>
      </c>
    </row>
    <row r="8" spans="1:5" x14ac:dyDescent="0.25">
      <c r="A8" s="22" t="s">
        <v>34</v>
      </c>
      <c r="B8" s="19">
        <v>50</v>
      </c>
      <c r="C8" s="23" t="s">
        <v>35</v>
      </c>
      <c r="D8" s="21">
        <f>IFERROR(VLOOKUP($A8,'1. Insumos'!$A$6:$E$13,5,FALSE),0)</f>
        <v>0.2248</v>
      </c>
      <c r="E8" s="24">
        <f>B8*D8</f>
        <v>11.24</v>
      </c>
    </row>
    <row r="9" spans="1:5" x14ac:dyDescent="0.25">
      <c r="A9" s="22" t="s">
        <v>36</v>
      </c>
      <c r="B9" s="19">
        <v>250</v>
      </c>
      <c r="C9" s="23" t="s">
        <v>35</v>
      </c>
      <c r="D9" s="21">
        <f>IFERROR(VLOOKUP($A9,'1. Insumos'!$A$6:$E$13,5,FALSE),0)</f>
        <v>3.9950000000000003E-3</v>
      </c>
      <c r="E9" s="24">
        <f>B9*D9</f>
        <v>0.99875000000000003</v>
      </c>
    </row>
    <row r="10" spans="1:5" x14ac:dyDescent="0.25">
      <c r="A10" s="22" t="s">
        <v>39</v>
      </c>
      <c r="B10" s="19">
        <v>150</v>
      </c>
      <c r="C10" s="23" t="s">
        <v>40</v>
      </c>
      <c r="D10" s="21">
        <f>IFERROR(VLOOKUP($A10,'1. Insumos'!$A$6:$E$13,5,FALSE),0)</f>
        <v>0</v>
      </c>
      <c r="E10" s="24">
        <f>B10*D10</f>
        <v>0</v>
      </c>
    </row>
    <row r="11" spans="1:5" x14ac:dyDescent="0.25">
      <c r="A11" s="22" t="s">
        <v>37</v>
      </c>
      <c r="B11" s="19">
        <v>36</v>
      </c>
      <c r="C11" s="23" t="s">
        <v>35</v>
      </c>
      <c r="D11" s="21">
        <f>IFERROR(VLOOKUP($A11,'1. Insumos'!$A$6:$E$13,5,FALSE),0)</f>
        <v>0.17499999999999999</v>
      </c>
      <c r="E11" s="24">
        <f>B11*D11</f>
        <v>6.3</v>
      </c>
    </row>
    <row r="12" spans="1:5" x14ac:dyDescent="0.25">
      <c r="A12" s="22" t="s">
        <v>38</v>
      </c>
      <c r="B12" s="19">
        <v>2</v>
      </c>
      <c r="C12" s="23" t="s">
        <v>35</v>
      </c>
      <c r="D12" s="21">
        <f>IFERROR(VLOOKUP($A12,'1. Insumos'!$A$6:$E$13,5,FALSE),0)</f>
        <v>0.34950000000000003</v>
      </c>
      <c r="E12" s="24">
        <f>B12*D12</f>
        <v>0.69900000000000007</v>
      </c>
    </row>
    <row r="13" spans="1:5" x14ac:dyDescent="0.25">
      <c r="A13" s="25" t="s">
        <v>55</v>
      </c>
      <c r="B13" s="26"/>
      <c r="C13" s="26"/>
      <c r="D13" s="26"/>
      <c r="E13" s="27">
        <f>SUM(E8:E12)</f>
        <v>19.237750000000002</v>
      </c>
    </row>
    <row r="15" spans="1:5" x14ac:dyDescent="0.25">
      <c r="A15" s="4" t="s">
        <v>56</v>
      </c>
      <c r="B15" s="11"/>
      <c r="C15" s="11"/>
      <c r="D15" s="11"/>
      <c r="E15" s="11"/>
    </row>
    <row r="16" spans="1:5" x14ac:dyDescent="0.25">
      <c r="A16" s="3" t="s">
        <v>57</v>
      </c>
      <c r="B16" s="3" t="s">
        <v>58</v>
      </c>
      <c r="C16" s="3" t="s">
        <v>32</v>
      </c>
      <c r="D16" s="3" t="s">
        <v>53</v>
      </c>
      <c r="E16" s="3" t="s">
        <v>54</v>
      </c>
    </row>
    <row r="17" spans="1:6" x14ac:dyDescent="0.25">
      <c r="A17" s="22" t="s">
        <v>41</v>
      </c>
      <c r="B17" s="19">
        <v>1</v>
      </c>
      <c r="C17" s="23" t="s">
        <v>42</v>
      </c>
      <c r="D17" s="21">
        <f>IFERROR(VLOOKUP($A17,'1. Insumos'!$A$6:$E$13,5,FALSE),0)</f>
        <v>3.45</v>
      </c>
      <c r="E17" s="24">
        <f>B17*D17*$B$4</f>
        <v>13.8</v>
      </c>
    </row>
    <row r="18" spans="1:6" x14ac:dyDescent="0.25">
      <c r="A18" s="22" t="s">
        <v>43</v>
      </c>
      <c r="B18" s="19">
        <v>1</v>
      </c>
      <c r="C18" s="23" t="s">
        <v>42</v>
      </c>
      <c r="D18" s="21">
        <f>IFERROR(VLOOKUP($A18,'1. Insumos'!$A$6:$E$13,5,FALSE),0)</f>
        <v>0.44</v>
      </c>
      <c r="E18" s="24">
        <f>B18*D18*$B$4</f>
        <v>1.76</v>
      </c>
    </row>
    <row r="19" spans="1:6" x14ac:dyDescent="0.25">
      <c r="A19" s="22" t="s">
        <v>44</v>
      </c>
      <c r="B19" s="19">
        <v>1</v>
      </c>
      <c r="C19" s="23" t="s">
        <v>42</v>
      </c>
      <c r="D19" s="21">
        <f>IFERROR(VLOOKUP($A19,'1. Insumos'!$A$6:$E$13,5,FALSE),0)</f>
        <v>0.31</v>
      </c>
      <c r="E19" s="24">
        <f>B19*D19*$B$4</f>
        <v>1.24</v>
      </c>
    </row>
    <row r="20" spans="1:6" x14ac:dyDescent="0.25">
      <c r="A20" s="25" t="s">
        <v>59</v>
      </c>
      <c r="B20" s="26"/>
      <c r="C20" s="26"/>
      <c r="D20" s="26"/>
      <c r="E20" s="27">
        <f>SUM(E17:E19)</f>
        <v>16.8</v>
      </c>
    </row>
    <row r="22" spans="1:6" x14ac:dyDescent="0.25">
      <c r="A22" s="4" t="s">
        <v>60</v>
      </c>
      <c r="B22" s="11"/>
      <c r="C22" s="11"/>
      <c r="D22" s="11"/>
      <c r="E22" s="11"/>
    </row>
    <row r="23" spans="1:6" x14ac:dyDescent="0.25">
      <c r="A23" s="3" t="s">
        <v>61</v>
      </c>
      <c r="B23" s="3"/>
      <c r="C23" s="3"/>
      <c r="D23" s="3"/>
      <c r="E23" s="3" t="s">
        <v>62</v>
      </c>
    </row>
    <row r="24" spans="1:6" x14ac:dyDescent="0.25">
      <c r="A24" s="28" t="s">
        <v>63</v>
      </c>
      <c r="B24" s="26"/>
      <c r="C24" s="26"/>
      <c r="D24" s="26"/>
      <c r="E24" s="18">
        <v>0</v>
      </c>
    </row>
    <row r="25" spans="1:6" x14ac:dyDescent="0.25">
      <c r="A25" s="28" t="s">
        <v>64</v>
      </c>
      <c r="B25" s="26"/>
      <c r="C25" s="26"/>
      <c r="D25" s="26"/>
      <c r="E25" s="18">
        <v>0</v>
      </c>
    </row>
    <row r="26" spans="1:6" x14ac:dyDescent="0.25">
      <c r="A26" s="28" t="s">
        <v>65</v>
      </c>
      <c r="B26" s="26"/>
      <c r="C26" s="26"/>
      <c r="D26" s="26"/>
      <c r="E26" s="18">
        <v>0</v>
      </c>
    </row>
    <row r="27" spans="1:6" x14ac:dyDescent="0.25">
      <c r="A27" s="25" t="s">
        <v>66</v>
      </c>
      <c r="B27" s="26"/>
      <c r="C27" s="26"/>
      <c r="D27" s="26"/>
      <c r="E27" s="27">
        <f>SUM(E24:E26)</f>
        <v>0</v>
      </c>
    </row>
    <row r="29" spans="1:6" x14ac:dyDescent="0.25">
      <c r="A29" s="4" t="s">
        <v>67</v>
      </c>
      <c r="B29" s="11"/>
      <c r="C29" s="11"/>
      <c r="D29" s="11"/>
      <c r="E29" s="11"/>
    </row>
    <row r="30" spans="1:6" ht="15.75" x14ac:dyDescent="0.25">
      <c r="A30" s="14" t="s">
        <v>68</v>
      </c>
      <c r="B30" s="15"/>
      <c r="C30" s="15"/>
      <c r="D30" s="15"/>
      <c r="E30" s="29">
        <f>$E$13+$E$20+$E$27</f>
        <v>36.037750000000003</v>
      </c>
    </row>
    <row r="31" spans="1:6" ht="15.75" x14ac:dyDescent="0.25">
      <c r="A31" s="14" t="s">
        <v>7</v>
      </c>
      <c r="B31" s="15"/>
      <c r="C31" s="15"/>
      <c r="D31" s="15"/>
      <c r="E31" s="29">
        <f>IF($B$4=0,0,$E$30/$B$4)</f>
        <v>9.0094375000000007</v>
      </c>
    </row>
    <row r="32" spans="1:6" ht="15.75" x14ac:dyDescent="0.25">
      <c r="A32" s="30" t="s">
        <v>69</v>
      </c>
      <c r="B32" s="28"/>
      <c r="C32" s="28"/>
      <c r="D32" s="28"/>
      <c r="E32" s="31">
        <v>25</v>
      </c>
      <c r="F32" s="2" t="s">
        <v>70</v>
      </c>
    </row>
    <row r="33" spans="1:6" ht="15.75" x14ac:dyDescent="0.25">
      <c r="A33" s="32" t="s">
        <v>71</v>
      </c>
      <c r="B33" s="33"/>
      <c r="C33" s="33"/>
      <c r="D33" s="33"/>
      <c r="E33" s="34">
        <f>$E$32-$E$31</f>
        <v>15.990562499999999</v>
      </c>
    </row>
    <row r="34" spans="1:6" x14ac:dyDescent="0.25">
      <c r="A34" s="25" t="s">
        <v>72</v>
      </c>
      <c r="B34" s="26"/>
      <c r="C34" s="26"/>
      <c r="D34" s="26"/>
      <c r="E34" s="27">
        <f>$E$32*$B$4</f>
        <v>100</v>
      </c>
    </row>
    <row r="35" spans="1:6" ht="15.75" x14ac:dyDescent="0.25">
      <c r="A35" s="32" t="s">
        <v>10</v>
      </c>
      <c r="B35" s="33"/>
      <c r="C35" s="33"/>
      <c r="D35" s="33"/>
      <c r="E35" s="34">
        <f>$E$33*$B$4</f>
        <v>63.962249999999997</v>
      </c>
    </row>
    <row r="36" spans="1:6" ht="15.75" x14ac:dyDescent="0.25">
      <c r="A36" s="32" t="s">
        <v>73</v>
      </c>
      <c r="B36" s="33"/>
      <c r="C36" s="33"/>
      <c r="D36" s="33"/>
      <c r="E36" s="35">
        <f>IF($E$32=0,0,$E$33/$E$32)</f>
        <v>0.63962249999999998</v>
      </c>
      <c r="F36" s="2" t="s">
        <v>74</v>
      </c>
    </row>
    <row r="37" spans="1:6" x14ac:dyDescent="0.25">
      <c r="A37" s="25" t="s">
        <v>75</v>
      </c>
      <c r="B37" s="26"/>
      <c r="C37" s="26"/>
      <c r="D37" s="26"/>
      <c r="E37" s="36">
        <f>IF($E$31=0,0,$E$32/$E$31)</f>
        <v>2.7748680203397824</v>
      </c>
      <c r="F37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 Resumo</vt:lpstr>
      <vt:lpstr>1. Insumos</vt:lpstr>
      <vt:lpstr>2. Café</vt:lpstr>
      <vt:lpstr>3. Cappuccino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Ignacio Rincones Pons</cp:lastModifiedBy>
  <dcterms:created xsi:type="dcterms:W3CDTF">2026-08-21T19:26:36Z</dcterms:created>
  <dcterms:modified xsi:type="dcterms:W3CDTF">2026-08-21T19:30:26Z</dcterms:modified>
</cp:coreProperties>
</file>