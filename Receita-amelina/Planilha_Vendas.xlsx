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Vendas" sheetId="1" state="visible" r:id="rId1"/>
    <sheet name="2. Resumo" sheetId="2" state="visible" r:id="rId2"/>
    <sheet name="3. Clientes" sheetId="3" state="visible" r:id="rId3"/>
    <sheet name="4. Produtos" sheetId="4" state="visible" r:id="rId4"/>
    <sheet name="5. Listas" sheetId="5" state="visible" r:id="rId5"/>
  </sheets>
  <definedNames>
    <definedName name="_xlnm._FilterDatabase" localSheetId="0" hidden="1">'1. Vendas'!$A$6:$N$306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#,##0.###"/>
    <numFmt numFmtId="166" formatCode="R$ #,##0.00"/>
    <numFmt numFmtId="167" formatCode="mmm/yyyy"/>
    <numFmt numFmtId="168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i val="1"/>
      <color rgb="00595959"/>
      <sz val="10"/>
    </font>
    <font>
      <b val="1"/>
      <color rgb="007F6000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F3864"/>
      <sz val="11"/>
    </font>
    <font>
      <name val="Calibri"/>
      <b val="1"/>
      <color rgb="001F3864"/>
      <sz val="12"/>
    </font>
    <font>
      <color rgb="0040404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165" fontId="0" fillId="3" borderId="1" applyAlignment="1" pivotButton="0" quotePrefix="0" xfId="0">
      <alignment horizontal="center" vertical="center"/>
    </xf>
    <xf numFmtId="166" fontId="0" fillId="3" borderId="1" pivotButton="0" quotePrefix="0" xfId="0"/>
    <xf numFmtId="0" fontId="0" fillId="3" borderId="1" applyAlignment="1" pivotButton="0" quotePrefix="0" xfId="0">
      <alignment horizontal="center" vertical="center"/>
    </xf>
    <xf numFmtId="166" fontId="5" fillId="4" borderId="1" pivotButton="0" quotePrefix="0" xfId="0"/>
    <xf numFmtId="166" fontId="0" fillId="4" borderId="1" pivotButton="0" quotePrefix="0" xfId="0"/>
    <xf numFmtId="167" fontId="0" fillId="4" borderId="1" applyAlignment="1" pivotButton="0" quotePrefix="0" xfId="0">
      <alignment horizontal="center" vertical="center"/>
    </xf>
    <xf numFmtId="0" fontId="6" fillId="5" borderId="1" pivotButton="0" quotePrefix="0" xfId="0"/>
    <xf numFmtId="0" fontId="0" fillId="5" borderId="1" pivotButton="0" quotePrefix="0" xfId="0"/>
    <xf numFmtId="0" fontId="5" fillId="4" borderId="1" pivotButton="0" quotePrefix="0" xfId="0"/>
    <xf numFmtId="165" fontId="5" fillId="4" borderId="1" applyAlignment="1" pivotButton="0" quotePrefix="0" xfId="0">
      <alignment horizontal="center" vertical="center"/>
    </xf>
    <xf numFmtId="0" fontId="7" fillId="6" borderId="1" pivotButton="0" quotePrefix="0" xfId="0"/>
    <xf numFmtId="166" fontId="7" fillId="6" borderId="1" applyAlignment="1" pivotButton="0" quotePrefix="0" xfId="0">
      <alignment horizontal="center" vertical="center"/>
    </xf>
    <xf numFmtId="166" fontId="5" fillId="4" borderId="1" applyAlignment="1" pivotButton="0" quotePrefix="0" xfId="0">
      <alignment horizontal="center" vertical="center"/>
    </xf>
    <xf numFmtId="0" fontId="7" fillId="7" borderId="1" pivotButton="0" quotePrefix="0" xfId="0"/>
    <xf numFmtId="166" fontId="7" fillId="7" borderId="1" applyAlignment="1" pivotButton="0" quotePrefix="0" xfId="0">
      <alignment horizontal="center" vertical="center"/>
    </xf>
    <xf numFmtId="0" fontId="5" fillId="7" borderId="1" pivotButton="0" quotePrefix="0" xfId="0"/>
    <xf numFmtId="168" fontId="5" fillId="7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166" fontId="0" fillId="7" borderId="1" applyAlignment="1" pivotButton="0" quotePrefix="0" xfId="0">
      <alignment horizontal="center" vertical="center"/>
    </xf>
    <xf numFmtId="0" fontId="5" fillId="3" borderId="1" pivotButton="0" quotePrefix="0" xfId="0"/>
    <xf numFmtId="167" fontId="5" fillId="3" borderId="1" applyAlignment="1" pivotButton="0" quotePrefix="0" xfId="0">
      <alignment horizontal="center" vertical="center"/>
    </xf>
    <xf numFmtId="167" fontId="5" fillId="4" borderId="1" applyAlignment="1" pivotButton="0" quotePrefix="0" xfId="0">
      <alignment horizontal="center" vertical="center"/>
    </xf>
    <xf numFmtId="0" fontId="6" fillId="0" borderId="0" pivotButton="0" quotePrefix="0" xfId="0"/>
    <xf numFmtId="0" fontId="8" fillId="0" borderId="0" pivotButton="0" quotePrefix="0" xfId="0"/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166" fontId="5" fillId="7" borderId="1" applyAlignment="1" pivotButton="0" quotePrefix="0" xfId="0">
      <alignment horizontal="center" vertical="center"/>
    </xf>
    <xf numFmtId="168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N306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20" customWidth="1" min="3" max="3"/>
    <col width="8" customWidth="1" min="4" max="4"/>
    <col width="15" customWidth="1" min="5" max="5"/>
    <col width="14" customWidth="1" min="6" max="6"/>
    <col width="13" customWidth="1" min="7" max="7"/>
    <col width="17" customWidth="1" min="8" max="8"/>
    <col width="15" customWidth="1" min="9" max="9"/>
    <col width="28" customWidth="1" min="10" max="10"/>
    <col width="14" customWidth="1" min="11" max="11"/>
    <col width="13" customWidth="1" min="12" max="12"/>
    <col width="13" customWidth="1" min="13" max="13"/>
    <col width="13" customWidth="1" min="14" max="14"/>
  </cols>
  <sheetData>
    <row r="1">
      <c r="A1" s="1" t="inlineStr">
        <is>
          <t>REGISTRO DE VENDAS</t>
        </is>
      </c>
    </row>
    <row r="2">
      <c r="A2" s="2" t="inlineStr">
        <is>
          <t>Uma linha por venda. Escolha o produto na listinha e o preço e o custo entram sozinhos (o preço pode ser trocado se você cobrou outro valor).</t>
        </is>
      </c>
    </row>
    <row r="3">
      <c r="A3" s="3" t="inlineStr">
        <is>
          <t>AMARELO = você preenche     |     CINZA = calculado automaticamente (não digite)</t>
        </is>
      </c>
    </row>
    <row r="5">
      <c r="A5" s="2" t="inlineStr">
        <is>
          <t>Para lançar uma venda nova use sempre a primeira linha vazia - as fórmulas já estão prontas até a linha 306. Colunas A a J você digita; K a N se calculam.</t>
        </is>
      </c>
    </row>
    <row r="6">
      <c r="A6" s="4" t="inlineStr">
        <is>
          <t>Data</t>
        </is>
      </c>
      <c r="B6" s="4" t="inlineStr">
        <is>
          <t>Cliente</t>
        </is>
      </c>
      <c r="C6" s="4" t="inlineStr">
        <is>
          <t>Produto</t>
        </is>
      </c>
      <c r="D6" s="4" t="inlineStr">
        <is>
          <t>Qtd</t>
        </is>
      </c>
      <c r="E6" s="4" t="inlineStr">
        <is>
          <t>Preço unit. (R$)</t>
        </is>
      </c>
      <c r="F6" s="4" t="inlineStr">
        <is>
          <t>Desconto (R$)</t>
        </is>
      </c>
      <c r="G6" s="4" t="inlineStr">
        <is>
          <t>Status</t>
        </is>
      </c>
      <c r="H6" s="4" t="inlineStr">
        <is>
          <t>Pagamento</t>
        </is>
      </c>
      <c r="I6" s="4" t="inlineStr">
        <is>
          <t>Canal</t>
        </is>
      </c>
      <c r="J6" s="4" t="inlineStr">
        <is>
          <t>Observações</t>
        </is>
      </c>
      <c r="K6" s="4" t="inlineStr">
        <is>
          <t>Total (R$)</t>
        </is>
      </c>
      <c r="L6" s="4" t="inlineStr">
        <is>
          <t>Custo (R$)</t>
        </is>
      </c>
      <c r="M6" s="4" t="inlineStr">
        <is>
          <t>Lucro (R$)</t>
        </is>
      </c>
      <c r="N6" s="4" t="inlineStr">
        <is>
          <t>Mês (auto)</t>
        </is>
      </c>
    </row>
    <row r="7">
      <c r="A7" s="5" t="n"/>
      <c r="B7" s="6" t="n"/>
      <c r="C7" s="6" t="n"/>
      <c r="D7" s="7" t="n"/>
      <c r="E7" s="8">
        <f>IF($C7="","",IFERROR(VLOOKUP($C7,'4. Produtos'!$A$6:$E$25,3,FALSE),0))</f>
        <v/>
      </c>
      <c r="F7" s="8" t="n"/>
      <c r="G7" s="9" t="n"/>
      <c r="H7" s="9" t="n"/>
      <c r="I7" s="9" t="n"/>
      <c r="J7" s="6" t="n"/>
      <c r="K7" s="10">
        <f>IF(OR($C7="",$D7=""),"",$D7*$E7-N($F7))</f>
        <v/>
      </c>
      <c r="L7" s="11">
        <f>IF(OR($C7="",$D7=""),"",$D7*IFERROR(VLOOKUP($C7,'4. Produtos'!$A$6:$E$25,2,FALSE),0))</f>
        <v/>
      </c>
      <c r="M7" s="10">
        <f>IF(OR($C7="",$D7=""),"",$K7-$L7)</f>
        <v/>
      </c>
      <c r="N7" s="12">
        <f>IF($A7="","",EOMONTH($A7,0))</f>
        <v/>
      </c>
    </row>
    <row r="8">
      <c r="A8" s="5" t="n"/>
      <c r="B8" s="6" t="n"/>
      <c r="C8" s="6" t="n"/>
      <c r="D8" s="7" t="n"/>
      <c r="E8" s="8">
        <f>IF($C8="","",IFERROR(VLOOKUP($C8,'4. Produtos'!$A$6:$E$25,3,FALSE),0))</f>
        <v/>
      </c>
      <c r="F8" s="8" t="n"/>
      <c r="G8" s="9" t="n"/>
      <c r="H8" s="9" t="n"/>
      <c r="I8" s="9" t="n"/>
      <c r="J8" s="6" t="n"/>
      <c r="K8" s="10">
        <f>IF(OR($C8="",$D8=""),"",$D8*$E8-N($F8))</f>
        <v/>
      </c>
      <c r="L8" s="11">
        <f>IF(OR($C8="",$D8=""),"",$D8*IFERROR(VLOOKUP($C8,'4. Produtos'!$A$6:$E$25,2,FALSE),0))</f>
        <v/>
      </c>
      <c r="M8" s="10">
        <f>IF(OR($C8="",$D8=""),"",$K8-$L8)</f>
        <v/>
      </c>
      <c r="N8" s="12">
        <f>IF($A8="","",EOMONTH($A8,0))</f>
        <v/>
      </c>
    </row>
    <row r="9">
      <c r="A9" s="5" t="n"/>
      <c r="B9" s="6" t="n"/>
      <c r="C9" s="6" t="n"/>
      <c r="D9" s="7" t="n"/>
      <c r="E9" s="8">
        <f>IF($C9="","",IFERROR(VLOOKUP($C9,'4. Produtos'!$A$6:$E$25,3,FALSE),0))</f>
        <v/>
      </c>
      <c r="F9" s="8" t="n"/>
      <c r="G9" s="9" t="n"/>
      <c r="H9" s="9" t="n"/>
      <c r="I9" s="9" t="n"/>
      <c r="J9" s="6" t="n"/>
      <c r="K9" s="10">
        <f>IF(OR($C9="",$D9=""),"",$D9*$E9-N($F9))</f>
        <v/>
      </c>
      <c r="L9" s="11">
        <f>IF(OR($C9="",$D9=""),"",$D9*IFERROR(VLOOKUP($C9,'4. Produtos'!$A$6:$E$25,2,FALSE),0))</f>
        <v/>
      </c>
      <c r="M9" s="10">
        <f>IF(OR($C9="",$D9=""),"",$K9-$L9)</f>
        <v/>
      </c>
      <c r="N9" s="12">
        <f>IF($A9="","",EOMONTH($A9,0))</f>
        <v/>
      </c>
    </row>
    <row r="10">
      <c r="A10" s="5" t="n"/>
      <c r="B10" s="6" t="n"/>
      <c r="C10" s="6" t="n"/>
      <c r="D10" s="7" t="n"/>
      <c r="E10" s="8">
        <f>IF($C10="","",IFERROR(VLOOKUP($C10,'4. Produtos'!$A$6:$E$25,3,FALSE),0))</f>
        <v/>
      </c>
      <c r="F10" s="8" t="n"/>
      <c r="G10" s="9" t="n"/>
      <c r="H10" s="9" t="n"/>
      <c r="I10" s="9" t="n"/>
      <c r="J10" s="6" t="n"/>
      <c r="K10" s="10">
        <f>IF(OR($C10="",$D10=""),"",$D10*$E10-N($F10))</f>
        <v/>
      </c>
      <c r="L10" s="11">
        <f>IF(OR($C10="",$D10=""),"",$D10*IFERROR(VLOOKUP($C10,'4. Produtos'!$A$6:$E$25,2,FALSE),0))</f>
        <v/>
      </c>
      <c r="M10" s="10">
        <f>IF(OR($C10="",$D10=""),"",$K10-$L10)</f>
        <v/>
      </c>
      <c r="N10" s="12">
        <f>IF($A10="","",EOMONTH($A10,0))</f>
        <v/>
      </c>
    </row>
    <row r="11">
      <c r="A11" s="5" t="n"/>
      <c r="B11" s="6" t="n"/>
      <c r="C11" s="6" t="n"/>
      <c r="D11" s="7" t="n"/>
      <c r="E11" s="8">
        <f>IF($C11="","",IFERROR(VLOOKUP($C11,'4. Produtos'!$A$6:$E$25,3,FALSE),0))</f>
        <v/>
      </c>
      <c r="F11" s="8" t="n"/>
      <c r="G11" s="9" t="n"/>
      <c r="H11" s="9" t="n"/>
      <c r="I11" s="9" t="n"/>
      <c r="J11" s="6" t="n"/>
      <c r="K11" s="10">
        <f>IF(OR($C11="",$D11=""),"",$D11*$E11-N($F11))</f>
        <v/>
      </c>
      <c r="L11" s="11">
        <f>IF(OR($C11="",$D11=""),"",$D11*IFERROR(VLOOKUP($C11,'4. Produtos'!$A$6:$E$25,2,FALSE),0))</f>
        <v/>
      </c>
      <c r="M11" s="10">
        <f>IF(OR($C11="",$D11=""),"",$K11-$L11)</f>
        <v/>
      </c>
      <c r="N11" s="12">
        <f>IF($A11="","",EOMONTH($A11,0))</f>
        <v/>
      </c>
    </row>
    <row r="12">
      <c r="A12" s="5" t="n"/>
      <c r="B12" s="6" t="n"/>
      <c r="C12" s="6" t="n"/>
      <c r="D12" s="7" t="n"/>
      <c r="E12" s="8">
        <f>IF($C12="","",IFERROR(VLOOKUP($C12,'4. Produtos'!$A$6:$E$25,3,FALSE),0))</f>
        <v/>
      </c>
      <c r="F12" s="8" t="n"/>
      <c r="G12" s="9" t="n"/>
      <c r="H12" s="9" t="n"/>
      <c r="I12" s="9" t="n"/>
      <c r="J12" s="6" t="n"/>
      <c r="K12" s="10">
        <f>IF(OR($C12="",$D12=""),"",$D12*$E12-N($F12))</f>
        <v/>
      </c>
      <c r="L12" s="11">
        <f>IF(OR($C12="",$D12=""),"",$D12*IFERROR(VLOOKUP($C12,'4. Produtos'!$A$6:$E$25,2,FALSE),0))</f>
        <v/>
      </c>
      <c r="M12" s="10">
        <f>IF(OR($C12="",$D12=""),"",$K12-$L12)</f>
        <v/>
      </c>
      <c r="N12" s="12">
        <f>IF($A12="","",EOMONTH($A12,0))</f>
        <v/>
      </c>
    </row>
    <row r="13">
      <c r="A13" s="5" t="n"/>
      <c r="B13" s="6" t="n"/>
      <c r="C13" s="6" t="n"/>
      <c r="D13" s="7" t="n"/>
      <c r="E13" s="8">
        <f>IF($C13="","",IFERROR(VLOOKUP($C13,'4. Produtos'!$A$6:$E$25,3,FALSE),0))</f>
        <v/>
      </c>
      <c r="F13" s="8" t="n"/>
      <c r="G13" s="9" t="n"/>
      <c r="H13" s="9" t="n"/>
      <c r="I13" s="9" t="n"/>
      <c r="J13" s="6" t="n"/>
      <c r="K13" s="10">
        <f>IF(OR($C13="",$D13=""),"",$D13*$E13-N($F13))</f>
        <v/>
      </c>
      <c r="L13" s="11">
        <f>IF(OR($C13="",$D13=""),"",$D13*IFERROR(VLOOKUP($C13,'4. Produtos'!$A$6:$E$25,2,FALSE),0))</f>
        <v/>
      </c>
      <c r="M13" s="10">
        <f>IF(OR($C13="",$D13=""),"",$K13-$L13)</f>
        <v/>
      </c>
      <c r="N13" s="12">
        <f>IF($A13="","",EOMONTH($A13,0))</f>
        <v/>
      </c>
    </row>
    <row r="14">
      <c r="A14" s="5" t="n"/>
      <c r="B14" s="6" t="n"/>
      <c r="C14" s="6" t="n"/>
      <c r="D14" s="7" t="n"/>
      <c r="E14" s="8">
        <f>IF($C14="","",IFERROR(VLOOKUP($C14,'4. Produtos'!$A$6:$E$25,3,FALSE),0))</f>
        <v/>
      </c>
      <c r="F14" s="8" t="n"/>
      <c r="G14" s="9" t="n"/>
      <c r="H14" s="9" t="n"/>
      <c r="I14" s="9" t="n"/>
      <c r="J14" s="6" t="n"/>
      <c r="K14" s="10">
        <f>IF(OR($C14="",$D14=""),"",$D14*$E14-N($F14))</f>
        <v/>
      </c>
      <c r="L14" s="11">
        <f>IF(OR($C14="",$D14=""),"",$D14*IFERROR(VLOOKUP($C14,'4. Produtos'!$A$6:$E$25,2,FALSE),0))</f>
        <v/>
      </c>
      <c r="M14" s="10">
        <f>IF(OR($C14="",$D14=""),"",$K14-$L14)</f>
        <v/>
      </c>
      <c r="N14" s="12">
        <f>IF($A14="","",EOMONTH($A14,0))</f>
        <v/>
      </c>
    </row>
    <row r="15">
      <c r="A15" s="5" t="n"/>
      <c r="B15" s="6" t="n"/>
      <c r="C15" s="6" t="n"/>
      <c r="D15" s="7" t="n"/>
      <c r="E15" s="8">
        <f>IF($C15="","",IFERROR(VLOOKUP($C15,'4. Produtos'!$A$6:$E$25,3,FALSE),0))</f>
        <v/>
      </c>
      <c r="F15" s="8" t="n"/>
      <c r="G15" s="9" t="n"/>
      <c r="H15" s="9" t="n"/>
      <c r="I15" s="9" t="n"/>
      <c r="J15" s="6" t="n"/>
      <c r="K15" s="10">
        <f>IF(OR($C15="",$D15=""),"",$D15*$E15-N($F15))</f>
        <v/>
      </c>
      <c r="L15" s="11">
        <f>IF(OR($C15="",$D15=""),"",$D15*IFERROR(VLOOKUP($C15,'4. Produtos'!$A$6:$E$25,2,FALSE),0))</f>
        <v/>
      </c>
      <c r="M15" s="10">
        <f>IF(OR($C15="",$D15=""),"",$K15-$L15)</f>
        <v/>
      </c>
      <c r="N15" s="12">
        <f>IF($A15="","",EOMONTH($A15,0))</f>
        <v/>
      </c>
    </row>
    <row r="16">
      <c r="A16" s="5" t="n"/>
      <c r="B16" s="6" t="n"/>
      <c r="C16" s="6" t="n"/>
      <c r="D16" s="7" t="n"/>
      <c r="E16" s="8">
        <f>IF($C16="","",IFERROR(VLOOKUP($C16,'4. Produtos'!$A$6:$E$25,3,FALSE),0))</f>
        <v/>
      </c>
      <c r="F16" s="8" t="n"/>
      <c r="G16" s="9" t="n"/>
      <c r="H16" s="9" t="n"/>
      <c r="I16" s="9" t="n"/>
      <c r="J16" s="6" t="n"/>
      <c r="K16" s="10">
        <f>IF(OR($C16="",$D16=""),"",$D16*$E16-N($F16))</f>
        <v/>
      </c>
      <c r="L16" s="11">
        <f>IF(OR($C16="",$D16=""),"",$D16*IFERROR(VLOOKUP($C16,'4. Produtos'!$A$6:$E$25,2,FALSE),0))</f>
        <v/>
      </c>
      <c r="M16" s="10">
        <f>IF(OR($C16="",$D16=""),"",$K16-$L16)</f>
        <v/>
      </c>
      <c r="N16" s="12">
        <f>IF($A16="","",EOMONTH($A16,0))</f>
        <v/>
      </c>
    </row>
    <row r="17">
      <c r="A17" s="5" t="n"/>
      <c r="B17" s="6" t="n"/>
      <c r="C17" s="6" t="n"/>
      <c r="D17" s="7" t="n"/>
      <c r="E17" s="8">
        <f>IF($C17="","",IFERROR(VLOOKUP($C17,'4. Produtos'!$A$6:$E$25,3,FALSE),0))</f>
        <v/>
      </c>
      <c r="F17" s="8" t="n"/>
      <c r="G17" s="9" t="n"/>
      <c r="H17" s="9" t="n"/>
      <c r="I17" s="9" t="n"/>
      <c r="J17" s="6" t="n"/>
      <c r="K17" s="10">
        <f>IF(OR($C17="",$D17=""),"",$D17*$E17-N($F17))</f>
        <v/>
      </c>
      <c r="L17" s="11">
        <f>IF(OR($C17="",$D17=""),"",$D17*IFERROR(VLOOKUP($C17,'4. Produtos'!$A$6:$E$25,2,FALSE),0))</f>
        <v/>
      </c>
      <c r="M17" s="10">
        <f>IF(OR($C17="",$D17=""),"",$K17-$L17)</f>
        <v/>
      </c>
      <c r="N17" s="12">
        <f>IF($A17="","",EOMONTH($A17,0))</f>
        <v/>
      </c>
    </row>
    <row r="18">
      <c r="A18" s="5" t="n"/>
      <c r="B18" s="6" t="n"/>
      <c r="C18" s="6" t="n"/>
      <c r="D18" s="7" t="n"/>
      <c r="E18" s="8">
        <f>IF($C18="","",IFERROR(VLOOKUP($C18,'4. Produtos'!$A$6:$E$25,3,FALSE),0))</f>
        <v/>
      </c>
      <c r="F18" s="8" t="n"/>
      <c r="G18" s="9" t="n"/>
      <c r="H18" s="9" t="n"/>
      <c r="I18" s="9" t="n"/>
      <c r="J18" s="6" t="n"/>
      <c r="K18" s="10">
        <f>IF(OR($C18="",$D18=""),"",$D18*$E18-N($F18))</f>
        <v/>
      </c>
      <c r="L18" s="11">
        <f>IF(OR($C18="",$D18=""),"",$D18*IFERROR(VLOOKUP($C18,'4. Produtos'!$A$6:$E$25,2,FALSE),0))</f>
        <v/>
      </c>
      <c r="M18" s="10">
        <f>IF(OR($C18="",$D18=""),"",$K18-$L18)</f>
        <v/>
      </c>
      <c r="N18" s="12">
        <f>IF($A18="","",EOMONTH($A18,0))</f>
        <v/>
      </c>
    </row>
    <row r="19">
      <c r="A19" s="5" t="n"/>
      <c r="B19" s="6" t="n"/>
      <c r="C19" s="6" t="n"/>
      <c r="D19" s="7" t="n"/>
      <c r="E19" s="8">
        <f>IF($C19="","",IFERROR(VLOOKUP($C19,'4. Produtos'!$A$6:$E$25,3,FALSE),0))</f>
        <v/>
      </c>
      <c r="F19" s="8" t="n"/>
      <c r="G19" s="9" t="n"/>
      <c r="H19" s="9" t="n"/>
      <c r="I19" s="9" t="n"/>
      <c r="J19" s="6" t="n"/>
      <c r="K19" s="10">
        <f>IF(OR($C19="",$D19=""),"",$D19*$E19-N($F19))</f>
        <v/>
      </c>
      <c r="L19" s="11">
        <f>IF(OR($C19="",$D19=""),"",$D19*IFERROR(VLOOKUP($C19,'4. Produtos'!$A$6:$E$25,2,FALSE),0))</f>
        <v/>
      </c>
      <c r="M19" s="10">
        <f>IF(OR($C19="",$D19=""),"",$K19-$L19)</f>
        <v/>
      </c>
      <c r="N19" s="12">
        <f>IF($A19="","",EOMONTH($A19,0))</f>
        <v/>
      </c>
    </row>
    <row r="20">
      <c r="A20" s="5" t="n"/>
      <c r="B20" s="6" t="n"/>
      <c r="C20" s="6" t="n"/>
      <c r="D20" s="7" t="n"/>
      <c r="E20" s="8">
        <f>IF($C20="","",IFERROR(VLOOKUP($C20,'4. Produtos'!$A$6:$E$25,3,FALSE),0))</f>
        <v/>
      </c>
      <c r="F20" s="8" t="n"/>
      <c r="G20" s="9" t="n"/>
      <c r="H20" s="9" t="n"/>
      <c r="I20" s="9" t="n"/>
      <c r="J20" s="6" t="n"/>
      <c r="K20" s="10">
        <f>IF(OR($C20="",$D20=""),"",$D20*$E20-N($F20))</f>
        <v/>
      </c>
      <c r="L20" s="11">
        <f>IF(OR($C20="",$D20=""),"",$D20*IFERROR(VLOOKUP($C20,'4. Produtos'!$A$6:$E$25,2,FALSE),0))</f>
        <v/>
      </c>
      <c r="M20" s="10">
        <f>IF(OR($C20="",$D20=""),"",$K20-$L20)</f>
        <v/>
      </c>
      <c r="N20" s="12">
        <f>IF($A20="","",EOMONTH($A20,0))</f>
        <v/>
      </c>
    </row>
    <row r="21">
      <c r="A21" s="5" t="n"/>
      <c r="B21" s="6" t="n"/>
      <c r="C21" s="6" t="n"/>
      <c r="D21" s="7" t="n"/>
      <c r="E21" s="8">
        <f>IF($C21="","",IFERROR(VLOOKUP($C21,'4. Produtos'!$A$6:$E$25,3,FALSE),0))</f>
        <v/>
      </c>
      <c r="F21" s="8" t="n"/>
      <c r="G21" s="9" t="n"/>
      <c r="H21" s="9" t="n"/>
      <c r="I21" s="9" t="n"/>
      <c r="J21" s="6" t="n"/>
      <c r="K21" s="10">
        <f>IF(OR($C21="",$D21=""),"",$D21*$E21-N($F21))</f>
        <v/>
      </c>
      <c r="L21" s="11">
        <f>IF(OR($C21="",$D21=""),"",$D21*IFERROR(VLOOKUP($C21,'4. Produtos'!$A$6:$E$25,2,FALSE),0))</f>
        <v/>
      </c>
      <c r="M21" s="10">
        <f>IF(OR($C21="",$D21=""),"",$K21-$L21)</f>
        <v/>
      </c>
      <c r="N21" s="12">
        <f>IF($A21="","",EOMONTH($A21,0))</f>
        <v/>
      </c>
    </row>
    <row r="22">
      <c r="A22" s="5" t="n"/>
      <c r="B22" s="6" t="n"/>
      <c r="C22" s="6" t="n"/>
      <c r="D22" s="7" t="n"/>
      <c r="E22" s="8">
        <f>IF($C22="","",IFERROR(VLOOKUP($C22,'4. Produtos'!$A$6:$E$25,3,FALSE),0))</f>
        <v/>
      </c>
      <c r="F22" s="8" t="n"/>
      <c r="G22" s="9" t="n"/>
      <c r="H22" s="9" t="n"/>
      <c r="I22" s="9" t="n"/>
      <c r="J22" s="6" t="n"/>
      <c r="K22" s="10">
        <f>IF(OR($C22="",$D22=""),"",$D22*$E22-N($F22))</f>
        <v/>
      </c>
      <c r="L22" s="11">
        <f>IF(OR($C22="",$D22=""),"",$D22*IFERROR(VLOOKUP($C22,'4. Produtos'!$A$6:$E$25,2,FALSE),0))</f>
        <v/>
      </c>
      <c r="M22" s="10">
        <f>IF(OR($C22="",$D22=""),"",$K22-$L22)</f>
        <v/>
      </c>
      <c r="N22" s="12">
        <f>IF($A22="","",EOMONTH($A22,0))</f>
        <v/>
      </c>
    </row>
    <row r="23">
      <c r="A23" s="5" t="n"/>
      <c r="B23" s="6" t="n"/>
      <c r="C23" s="6" t="n"/>
      <c r="D23" s="7" t="n"/>
      <c r="E23" s="8">
        <f>IF($C23="","",IFERROR(VLOOKUP($C23,'4. Produtos'!$A$6:$E$25,3,FALSE),0))</f>
        <v/>
      </c>
      <c r="F23" s="8" t="n"/>
      <c r="G23" s="9" t="n"/>
      <c r="H23" s="9" t="n"/>
      <c r="I23" s="9" t="n"/>
      <c r="J23" s="6" t="n"/>
      <c r="K23" s="10">
        <f>IF(OR($C23="",$D23=""),"",$D23*$E23-N($F23))</f>
        <v/>
      </c>
      <c r="L23" s="11">
        <f>IF(OR($C23="",$D23=""),"",$D23*IFERROR(VLOOKUP($C23,'4. Produtos'!$A$6:$E$25,2,FALSE),0))</f>
        <v/>
      </c>
      <c r="M23" s="10">
        <f>IF(OR($C23="",$D23=""),"",$K23-$L23)</f>
        <v/>
      </c>
      <c r="N23" s="12">
        <f>IF($A23="","",EOMONTH($A23,0))</f>
        <v/>
      </c>
    </row>
    <row r="24">
      <c r="A24" s="5" t="n"/>
      <c r="B24" s="6" t="n"/>
      <c r="C24" s="6" t="n"/>
      <c r="D24" s="7" t="n"/>
      <c r="E24" s="8">
        <f>IF($C24="","",IFERROR(VLOOKUP($C24,'4. Produtos'!$A$6:$E$25,3,FALSE),0))</f>
        <v/>
      </c>
      <c r="F24" s="8" t="n"/>
      <c r="G24" s="9" t="n"/>
      <c r="H24" s="9" t="n"/>
      <c r="I24" s="9" t="n"/>
      <c r="J24" s="6" t="n"/>
      <c r="K24" s="10">
        <f>IF(OR($C24="",$D24=""),"",$D24*$E24-N($F24))</f>
        <v/>
      </c>
      <c r="L24" s="11">
        <f>IF(OR($C24="",$D24=""),"",$D24*IFERROR(VLOOKUP($C24,'4. Produtos'!$A$6:$E$25,2,FALSE),0))</f>
        <v/>
      </c>
      <c r="M24" s="10">
        <f>IF(OR($C24="",$D24=""),"",$K24-$L24)</f>
        <v/>
      </c>
      <c r="N24" s="12">
        <f>IF($A24="","",EOMONTH($A24,0))</f>
        <v/>
      </c>
    </row>
    <row r="25">
      <c r="A25" s="5" t="n"/>
      <c r="B25" s="6" t="n"/>
      <c r="C25" s="6" t="n"/>
      <c r="D25" s="7" t="n"/>
      <c r="E25" s="8">
        <f>IF($C25="","",IFERROR(VLOOKUP($C25,'4. Produtos'!$A$6:$E$25,3,FALSE),0))</f>
        <v/>
      </c>
      <c r="F25" s="8" t="n"/>
      <c r="G25" s="9" t="n"/>
      <c r="H25" s="9" t="n"/>
      <c r="I25" s="9" t="n"/>
      <c r="J25" s="6" t="n"/>
      <c r="K25" s="10">
        <f>IF(OR($C25="",$D25=""),"",$D25*$E25-N($F25))</f>
        <v/>
      </c>
      <c r="L25" s="11">
        <f>IF(OR($C25="",$D25=""),"",$D25*IFERROR(VLOOKUP($C25,'4. Produtos'!$A$6:$E$25,2,FALSE),0))</f>
        <v/>
      </c>
      <c r="M25" s="10">
        <f>IF(OR($C25="",$D25=""),"",$K25-$L25)</f>
        <v/>
      </c>
      <c r="N25" s="12">
        <f>IF($A25="","",EOMONTH($A25,0))</f>
        <v/>
      </c>
    </row>
    <row r="26">
      <c r="A26" s="5" t="n"/>
      <c r="B26" s="6" t="n"/>
      <c r="C26" s="6" t="n"/>
      <c r="D26" s="7" t="n"/>
      <c r="E26" s="8">
        <f>IF($C26="","",IFERROR(VLOOKUP($C26,'4. Produtos'!$A$6:$E$25,3,FALSE),0))</f>
        <v/>
      </c>
      <c r="F26" s="8" t="n"/>
      <c r="G26" s="9" t="n"/>
      <c r="H26" s="9" t="n"/>
      <c r="I26" s="9" t="n"/>
      <c r="J26" s="6" t="n"/>
      <c r="K26" s="10">
        <f>IF(OR($C26="",$D26=""),"",$D26*$E26-N($F26))</f>
        <v/>
      </c>
      <c r="L26" s="11">
        <f>IF(OR($C26="",$D26=""),"",$D26*IFERROR(VLOOKUP($C26,'4. Produtos'!$A$6:$E$25,2,FALSE),0))</f>
        <v/>
      </c>
      <c r="M26" s="10">
        <f>IF(OR($C26="",$D26=""),"",$K26-$L26)</f>
        <v/>
      </c>
      <c r="N26" s="12">
        <f>IF($A26="","",EOMONTH($A26,0))</f>
        <v/>
      </c>
    </row>
    <row r="27">
      <c r="A27" s="5" t="n"/>
      <c r="B27" s="6" t="n"/>
      <c r="C27" s="6" t="n"/>
      <c r="D27" s="7" t="n"/>
      <c r="E27" s="8">
        <f>IF($C27="","",IFERROR(VLOOKUP($C27,'4. Produtos'!$A$6:$E$25,3,FALSE),0))</f>
        <v/>
      </c>
      <c r="F27" s="8" t="n"/>
      <c r="G27" s="9" t="n"/>
      <c r="H27" s="9" t="n"/>
      <c r="I27" s="9" t="n"/>
      <c r="J27" s="6" t="n"/>
      <c r="K27" s="10">
        <f>IF(OR($C27="",$D27=""),"",$D27*$E27-N($F27))</f>
        <v/>
      </c>
      <c r="L27" s="11">
        <f>IF(OR($C27="",$D27=""),"",$D27*IFERROR(VLOOKUP($C27,'4. Produtos'!$A$6:$E$25,2,FALSE),0))</f>
        <v/>
      </c>
      <c r="M27" s="10">
        <f>IF(OR($C27="",$D27=""),"",$K27-$L27)</f>
        <v/>
      </c>
      <c r="N27" s="12">
        <f>IF($A27="","",EOMONTH($A27,0))</f>
        <v/>
      </c>
    </row>
    <row r="28">
      <c r="A28" s="5" t="n"/>
      <c r="B28" s="6" t="n"/>
      <c r="C28" s="6" t="n"/>
      <c r="D28" s="7" t="n"/>
      <c r="E28" s="8">
        <f>IF($C28="","",IFERROR(VLOOKUP($C28,'4. Produtos'!$A$6:$E$25,3,FALSE),0))</f>
        <v/>
      </c>
      <c r="F28" s="8" t="n"/>
      <c r="G28" s="9" t="n"/>
      <c r="H28" s="9" t="n"/>
      <c r="I28" s="9" t="n"/>
      <c r="J28" s="6" t="n"/>
      <c r="K28" s="10">
        <f>IF(OR($C28="",$D28=""),"",$D28*$E28-N($F28))</f>
        <v/>
      </c>
      <c r="L28" s="11">
        <f>IF(OR($C28="",$D28=""),"",$D28*IFERROR(VLOOKUP($C28,'4. Produtos'!$A$6:$E$25,2,FALSE),0))</f>
        <v/>
      </c>
      <c r="M28" s="10">
        <f>IF(OR($C28="",$D28=""),"",$K28-$L28)</f>
        <v/>
      </c>
      <c r="N28" s="12">
        <f>IF($A28="","",EOMONTH($A28,0))</f>
        <v/>
      </c>
    </row>
    <row r="29">
      <c r="A29" s="5" t="n"/>
      <c r="B29" s="6" t="n"/>
      <c r="C29" s="6" t="n"/>
      <c r="D29" s="7" t="n"/>
      <c r="E29" s="8">
        <f>IF($C29="","",IFERROR(VLOOKUP($C29,'4. Produtos'!$A$6:$E$25,3,FALSE),0))</f>
        <v/>
      </c>
      <c r="F29" s="8" t="n"/>
      <c r="G29" s="9" t="n"/>
      <c r="H29" s="9" t="n"/>
      <c r="I29" s="9" t="n"/>
      <c r="J29" s="6" t="n"/>
      <c r="K29" s="10">
        <f>IF(OR($C29="",$D29=""),"",$D29*$E29-N($F29))</f>
        <v/>
      </c>
      <c r="L29" s="11">
        <f>IF(OR($C29="",$D29=""),"",$D29*IFERROR(VLOOKUP($C29,'4. Produtos'!$A$6:$E$25,2,FALSE),0))</f>
        <v/>
      </c>
      <c r="M29" s="10">
        <f>IF(OR($C29="",$D29=""),"",$K29-$L29)</f>
        <v/>
      </c>
      <c r="N29" s="12">
        <f>IF($A29="","",EOMONTH($A29,0))</f>
        <v/>
      </c>
    </row>
    <row r="30">
      <c r="A30" s="5" t="n"/>
      <c r="B30" s="6" t="n"/>
      <c r="C30" s="6" t="n"/>
      <c r="D30" s="7" t="n"/>
      <c r="E30" s="8">
        <f>IF($C30="","",IFERROR(VLOOKUP($C30,'4. Produtos'!$A$6:$E$25,3,FALSE),0))</f>
        <v/>
      </c>
      <c r="F30" s="8" t="n"/>
      <c r="G30" s="9" t="n"/>
      <c r="H30" s="9" t="n"/>
      <c r="I30" s="9" t="n"/>
      <c r="J30" s="6" t="n"/>
      <c r="K30" s="10">
        <f>IF(OR($C30="",$D30=""),"",$D30*$E30-N($F30))</f>
        <v/>
      </c>
      <c r="L30" s="11">
        <f>IF(OR($C30="",$D30=""),"",$D30*IFERROR(VLOOKUP($C30,'4. Produtos'!$A$6:$E$25,2,FALSE),0))</f>
        <v/>
      </c>
      <c r="M30" s="10">
        <f>IF(OR($C30="",$D30=""),"",$K30-$L30)</f>
        <v/>
      </c>
      <c r="N30" s="12">
        <f>IF($A30="","",EOMONTH($A30,0))</f>
        <v/>
      </c>
    </row>
    <row r="31">
      <c r="A31" s="5" t="n"/>
      <c r="B31" s="6" t="n"/>
      <c r="C31" s="6" t="n"/>
      <c r="D31" s="7" t="n"/>
      <c r="E31" s="8">
        <f>IF($C31="","",IFERROR(VLOOKUP($C31,'4. Produtos'!$A$6:$E$25,3,FALSE),0))</f>
        <v/>
      </c>
      <c r="F31" s="8" t="n"/>
      <c r="G31" s="9" t="n"/>
      <c r="H31" s="9" t="n"/>
      <c r="I31" s="9" t="n"/>
      <c r="J31" s="6" t="n"/>
      <c r="K31" s="10">
        <f>IF(OR($C31="",$D31=""),"",$D31*$E31-N($F31))</f>
        <v/>
      </c>
      <c r="L31" s="11">
        <f>IF(OR($C31="",$D31=""),"",$D31*IFERROR(VLOOKUP($C31,'4. Produtos'!$A$6:$E$25,2,FALSE),0))</f>
        <v/>
      </c>
      <c r="M31" s="10">
        <f>IF(OR($C31="",$D31=""),"",$K31-$L31)</f>
        <v/>
      </c>
      <c r="N31" s="12">
        <f>IF($A31="","",EOMONTH($A31,0))</f>
        <v/>
      </c>
    </row>
    <row r="32">
      <c r="A32" s="5" t="n"/>
      <c r="B32" s="6" t="n"/>
      <c r="C32" s="6" t="n"/>
      <c r="D32" s="7" t="n"/>
      <c r="E32" s="8">
        <f>IF($C32="","",IFERROR(VLOOKUP($C32,'4. Produtos'!$A$6:$E$25,3,FALSE),0))</f>
        <v/>
      </c>
      <c r="F32" s="8" t="n"/>
      <c r="G32" s="9" t="n"/>
      <c r="H32" s="9" t="n"/>
      <c r="I32" s="9" t="n"/>
      <c r="J32" s="6" t="n"/>
      <c r="K32" s="10">
        <f>IF(OR($C32="",$D32=""),"",$D32*$E32-N($F32))</f>
        <v/>
      </c>
      <c r="L32" s="11">
        <f>IF(OR($C32="",$D32=""),"",$D32*IFERROR(VLOOKUP($C32,'4. Produtos'!$A$6:$E$25,2,FALSE),0))</f>
        <v/>
      </c>
      <c r="M32" s="10">
        <f>IF(OR($C32="",$D32=""),"",$K32-$L32)</f>
        <v/>
      </c>
      <c r="N32" s="12">
        <f>IF($A32="","",EOMONTH($A32,0))</f>
        <v/>
      </c>
    </row>
    <row r="33">
      <c r="A33" s="5" t="n"/>
      <c r="B33" s="6" t="n"/>
      <c r="C33" s="6" t="n"/>
      <c r="D33" s="7" t="n"/>
      <c r="E33" s="8">
        <f>IF($C33="","",IFERROR(VLOOKUP($C33,'4. Produtos'!$A$6:$E$25,3,FALSE),0))</f>
        <v/>
      </c>
      <c r="F33" s="8" t="n"/>
      <c r="G33" s="9" t="n"/>
      <c r="H33" s="9" t="n"/>
      <c r="I33" s="9" t="n"/>
      <c r="J33" s="6" t="n"/>
      <c r="K33" s="10">
        <f>IF(OR($C33="",$D33=""),"",$D33*$E33-N($F33))</f>
        <v/>
      </c>
      <c r="L33" s="11">
        <f>IF(OR($C33="",$D33=""),"",$D33*IFERROR(VLOOKUP($C33,'4. Produtos'!$A$6:$E$25,2,FALSE),0))</f>
        <v/>
      </c>
      <c r="M33" s="10">
        <f>IF(OR($C33="",$D33=""),"",$K33-$L33)</f>
        <v/>
      </c>
      <c r="N33" s="12">
        <f>IF($A33="","",EOMONTH($A33,0))</f>
        <v/>
      </c>
    </row>
    <row r="34">
      <c r="A34" s="5" t="n"/>
      <c r="B34" s="6" t="n"/>
      <c r="C34" s="6" t="n"/>
      <c r="D34" s="7" t="n"/>
      <c r="E34" s="8">
        <f>IF($C34="","",IFERROR(VLOOKUP($C34,'4. Produtos'!$A$6:$E$25,3,FALSE),0))</f>
        <v/>
      </c>
      <c r="F34" s="8" t="n"/>
      <c r="G34" s="9" t="n"/>
      <c r="H34" s="9" t="n"/>
      <c r="I34" s="9" t="n"/>
      <c r="J34" s="6" t="n"/>
      <c r="K34" s="10">
        <f>IF(OR($C34="",$D34=""),"",$D34*$E34-N($F34))</f>
        <v/>
      </c>
      <c r="L34" s="11">
        <f>IF(OR($C34="",$D34=""),"",$D34*IFERROR(VLOOKUP($C34,'4. Produtos'!$A$6:$E$25,2,FALSE),0))</f>
        <v/>
      </c>
      <c r="M34" s="10">
        <f>IF(OR($C34="",$D34=""),"",$K34-$L34)</f>
        <v/>
      </c>
      <c r="N34" s="12">
        <f>IF($A34="","",EOMONTH($A34,0))</f>
        <v/>
      </c>
    </row>
    <row r="35">
      <c r="A35" s="5" t="n"/>
      <c r="B35" s="6" t="n"/>
      <c r="C35" s="6" t="n"/>
      <c r="D35" s="7" t="n"/>
      <c r="E35" s="8">
        <f>IF($C35="","",IFERROR(VLOOKUP($C35,'4. Produtos'!$A$6:$E$25,3,FALSE),0))</f>
        <v/>
      </c>
      <c r="F35" s="8" t="n"/>
      <c r="G35" s="9" t="n"/>
      <c r="H35" s="9" t="n"/>
      <c r="I35" s="9" t="n"/>
      <c r="J35" s="6" t="n"/>
      <c r="K35" s="10">
        <f>IF(OR($C35="",$D35=""),"",$D35*$E35-N($F35))</f>
        <v/>
      </c>
      <c r="L35" s="11">
        <f>IF(OR($C35="",$D35=""),"",$D35*IFERROR(VLOOKUP($C35,'4. Produtos'!$A$6:$E$25,2,FALSE),0))</f>
        <v/>
      </c>
      <c r="M35" s="10">
        <f>IF(OR($C35="",$D35=""),"",$K35-$L35)</f>
        <v/>
      </c>
      <c r="N35" s="12">
        <f>IF($A35="","",EOMONTH($A35,0))</f>
        <v/>
      </c>
    </row>
    <row r="36">
      <c r="A36" s="5" t="n"/>
      <c r="B36" s="6" t="n"/>
      <c r="C36" s="6" t="n"/>
      <c r="D36" s="7" t="n"/>
      <c r="E36" s="8">
        <f>IF($C36="","",IFERROR(VLOOKUP($C36,'4. Produtos'!$A$6:$E$25,3,FALSE),0))</f>
        <v/>
      </c>
      <c r="F36" s="8" t="n"/>
      <c r="G36" s="9" t="n"/>
      <c r="H36" s="9" t="n"/>
      <c r="I36" s="9" t="n"/>
      <c r="J36" s="6" t="n"/>
      <c r="K36" s="10">
        <f>IF(OR($C36="",$D36=""),"",$D36*$E36-N($F36))</f>
        <v/>
      </c>
      <c r="L36" s="11">
        <f>IF(OR($C36="",$D36=""),"",$D36*IFERROR(VLOOKUP($C36,'4. Produtos'!$A$6:$E$25,2,FALSE),0))</f>
        <v/>
      </c>
      <c r="M36" s="10">
        <f>IF(OR($C36="",$D36=""),"",$K36-$L36)</f>
        <v/>
      </c>
      <c r="N36" s="12">
        <f>IF($A36="","",EOMONTH($A36,0))</f>
        <v/>
      </c>
    </row>
    <row r="37">
      <c r="A37" s="5" t="n"/>
      <c r="B37" s="6" t="n"/>
      <c r="C37" s="6" t="n"/>
      <c r="D37" s="7" t="n"/>
      <c r="E37" s="8">
        <f>IF($C37="","",IFERROR(VLOOKUP($C37,'4. Produtos'!$A$6:$E$25,3,FALSE),0))</f>
        <v/>
      </c>
      <c r="F37" s="8" t="n"/>
      <c r="G37" s="9" t="n"/>
      <c r="H37" s="9" t="n"/>
      <c r="I37" s="9" t="n"/>
      <c r="J37" s="6" t="n"/>
      <c r="K37" s="10">
        <f>IF(OR($C37="",$D37=""),"",$D37*$E37-N($F37))</f>
        <v/>
      </c>
      <c r="L37" s="11">
        <f>IF(OR($C37="",$D37=""),"",$D37*IFERROR(VLOOKUP($C37,'4. Produtos'!$A$6:$E$25,2,FALSE),0))</f>
        <v/>
      </c>
      <c r="M37" s="10">
        <f>IF(OR($C37="",$D37=""),"",$K37-$L37)</f>
        <v/>
      </c>
      <c r="N37" s="12">
        <f>IF($A37="","",EOMONTH($A37,0))</f>
        <v/>
      </c>
    </row>
    <row r="38">
      <c r="A38" s="5" t="n"/>
      <c r="B38" s="6" t="n"/>
      <c r="C38" s="6" t="n"/>
      <c r="D38" s="7" t="n"/>
      <c r="E38" s="8">
        <f>IF($C38="","",IFERROR(VLOOKUP($C38,'4. Produtos'!$A$6:$E$25,3,FALSE),0))</f>
        <v/>
      </c>
      <c r="F38" s="8" t="n"/>
      <c r="G38" s="9" t="n"/>
      <c r="H38" s="9" t="n"/>
      <c r="I38" s="9" t="n"/>
      <c r="J38" s="6" t="n"/>
      <c r="K38" s="10">
        <f>IF(OR($C38="",$D38=""),"",$D38*$E38-N($F38))</f>
        <v/>
      </c>
      <c r="L38" s="11">
        <f>IF(OR($C38="",$D38=""),"",$D38*IFERROR(VLOOKUP($C38,'4. Produtos'!$A$6:$E$25,2,FALSE),0))</f>
        <v/>
      </c>
      <c r="M38" s="10">
        <f>IF(OR($C38="",$D38=""),"",$K38-$L38)</f>
        <v/>
      </c>
      <c r="N38" s="12">
        <f>IF($A38="","",EOMONTH($A38,0))</f>
        <v/>
      </c>
    </row>
    <row r="39">
      <c r="A39" s="5" t="n"/>
      <c r="B39" s="6" t="n"/>
      <c r="C39" s="6" t="n"/>
      <c r="D39" s="7" t="n"/>
      <c r="E39" s="8">
        <f>IF($C39="","",IFERROR(VLOOKUP($C39,'4. Produtos'!$A$6:$E$25,3,FALSE),0))</f>
        <v/>
      </c>
      <c r="F39" s="8" t="n"/>
      <c r="G39" s="9" t="n"/>
      <c r="H39" s="9" t="n"/>
      <c r="I39" s="9" t="n"/>
      <c r="J39" s="6" t="n"/>
      <c r="K39" s="10">
        <f>IF(OR($C39="",$D39=""),"",$D39*$E39-N($F39))</f>
        <v/>
      </c>
      <c r="L39" s="11">
        <f>IF(OR($C39="",$D39=""),"",$D39*IFERROR(VLOOKUP($C39,'4. Produtos'!$A$6:$E$25,2,FALSE),0))</f>
        <v/>
      </c>
      <c r="M39" s="10">
        <f>IF(OR($C39="",$D39=""),"",$K39-$L39)</f>
        <v/>
      </c>
      <c r="N39" s="12">
        <f>IF($A39="","",EOMONTH($A39,0))</f>
        <v/>
      </c>
    </row>
    <row r="40">
      <c r="A40" s="5" t="n"/>
      <c r="B40" s="6" t="n"/>
      <c r="C40" s="6" t="n"/>
      <c r="D40" s="7" t="n"/>
      <c r="E40" s="8">
        <f>IF($C40="","",IFERROR(VLOOKUP($C40,'4. Produtos'!$A$6:$E$25,3,FALSE),0))</f>
        <v/>
      </c>
      <c r="F40" s="8" t="n"/>
      <c r="G40" s="9" t="n"/>
      <c r="H40" s="9" t="n"/>
      <c r="I40" s="9" t="n"/>
      <c r="J40" s="6" t="n"/>
      <c r="K40" s="10">
        <f>IF(OR($C40="",$D40=""),"",$D40*$E40-N($F40))</f>
        <v/>
      </c>
      <c r="L40" s="11">
        <f>IF(OR($C40="",$D40=""),"",$D40*IFERROR(VLOOKUP($C40,'4. Produtos'!$A$6:$E$25,2,FALSE),0))</f>
        <v/>
      </c>
      <c r="M40" s="10">
        <f>IF(OR($C40="",$D40=""),"",$K40-$L40)</f>
        <v/>
      </c>
      <c r="N40" s="12">
        <f>IF($A40="","",EOMONTH($A40,0))</f>
        <v/>
      </c>
    </row>
    <row r="41">
      <c r="A41" s="5" t="n"/>
      <c r="B41" s="6" t="n"/>
      <c r="C41" s="6" t="n"/>
      <c r="D41" s="7" t="n"/>
      <c r="E41" s="8">
        <f>IF($C41="","",IFERROR(VLOOKUP($C41,'4. Produtos'!$A$6:$E$25,3,FALSE),0))</f>
        <v/>
      </c>
      <c r="F41" s="8" t="n"/>
      <c r="G41" s="9" t="n"/>
      <c r="H41" s="9" t="n"/>
      <c r="I41" s="9" t="n"/>
      <c r="J41" s="6" t="n"/>
      <c r="K41" s="10">
        <f>IF(OR($C41="",$D41=""),"",$D41*$E41-N($F41))</f>
        <v/>
      </c>
      <c r="L41" s="11">
        <f>IF(OR($C41="",$D41=""),"",$D41*IFERROR(VLOOKUP($C41,'4. Produtos'!$A$6:$E$25,2,FALSE),0))</f>
        <v/>
      </c>
      <c r="M41" s="10">
        <f>IF(OR($C41="",$D41=""),"",$K41-$L41)</f>
        <v/>
      </c>
      <c r="N41" s="12">
        <f>IF($A41="","",EOMONTH($A41,0))</f>
        <v/>
      </c>
    </row>
    <row r="42">
      <c r="A42" s="5" t="n"/>
      <c r="B42" s="6" t="n"/>
      <c r="C42" s="6" t="n"/>
      <c r="D42" s="7" t="n"/>
      <c r="E42" s="8">
        <f>IF($C42="","",IFERROR(VLOOKUP($C42,'4. Produtos'!$A$6:$E$25,3,FALSE),0))</f>
        <v/>
      </c>
      <c r="F42" s="8" t="n"/>
      <c r="G42" s="9" t="n"/>
      <c r="H42" s="9" t="n"/>
      <c r="I42" s="9" t="n"/>
      <c r="J42" s="6" t="n"/>
      <c r="K42" s="10">
        <f>IF(OR($C42="",$D42=""),"",$D42*$E42-N($F42))</f>
        <v/>
      </c>
      <c r="L42" s="11">
        <f>IF(OR($C42="",$D42=""),"",$D42*IFERROR(VLOOKUP($C42,'4. Produtos'!$A$6:$E$25,2,FALSE),0))</f>
        <v/>
      </c>
      <c r="M42" s="10">
        <f>IF(OR($C42="",$D42=""),"",$K42-$L42)</f>
        <v/>
      </c>
      <c r="N42" s="12">
        <f>IF($A42="","",EOMONTH($A42,0))</f>
        <v/>
      </c>
    </row>
    <row r="43">
      <c r="A43" s="5" t="n"/>
      <c r="B43" s="6" t="n"/>
      <c r="C43" s="6" t="n"/>
      <c r="D43" s="7" t="n"/>
      <c r="E43" s="8">
        <f>IF($C43="","",IFERROR(VLOOKUP($C43,'4. Produtos'!$A$6:$E$25,3,FALSE),0))</f>
        <v/>
      </c>
      <c r="F43" s="8" t="n"/>
      <c r="G43" s="9" t="n"/>
      <c r="H43" s="9" t="n"/>
      <c r="I43" s="9" t="n"/>
      <c r="J43" s="6" t="n"/>
      <c r="K43" s="10">
        <f>IF(OR($C43="",$D43=""),"",$D43*$E43-N($F43))</f>
        <v/>
      </c>
      <c r="L43" s="11">
        <f>IF(OR($C43="",$D43=""),"",$D43*IFERROR(VLOOKUP($C43,'4. Produtos'!$A$6:$E$25,2,FALSE),0))</f>
        <v/>
      </c>
      <c r="M43" s="10">
        <f>IF(OR($C43="",$D43=""),"",$K43-$L43)</f>
        <v/>
      </c>
      <c r="N43" s="12">
        <f>IF($A43="","",EOMONTH($A43,0))</f>
        <v/>
      </c>
    </row>
    <row r="44">
      <c r="A44" s="5" t="n"/>
      <c r="B44" s="6" t="n"/>
      <c r="C44" s="6" t="n"/>
      <c r="D44" s="7" t="n"/>
      <c r="E44" s="8">
        <f>IF($C44="","",IFERROR(VLOOKUP($C44,'4. Produtos'!$A$6:$E$25,3,FALSE),0))</f>
        <v/>
      </c>
      <c r="F44" s="8" t="n"/>
      <c r="G44" s="9" t="n"/>
      <c r="H44" s="9" t="n"/>
      <c r="I44" s="9" t="n"/>
      <c r="J44" s="6" t="n"/>
      <c r="K44" s="10">
        <f>IF(OR($C44="",$D44=""),"",$D44*$E44-N($F44))</f>
        <v/>
      </c>
      <c r="L44" s="11">
        <f>IF(OR($C44="",$D44=""),"",$D44*IFERROR(VLOOKUP($C44,'4. Produtos'!$A$6:$E$25,2,FALSE),0))</f>
        <v/>
      </c>
      <c r="M44" s="10">
        <f>IF(OR($C44="",$D44=""),"",$K44-$L44)</f>
        <v/>
      </c>
      <c r="N44" s="12">
        <f>IF($A44="","",EOMONTH($A44,0))</f>
        <v/>
      </c>
    </row>
    <row r="45">
      <c r="A45" s="5" t="n"/>
      <c r="B45" s="6" t="n"/>
      <c r="C45" s="6" t="n"/>
      <c r="D45" s="7" t="n"/>
      <c r="E45" s="8">
        <f>IF($C45="","",IFERROR(VLOOKUP($C45,'4. Produtos'!$A$6:$E$25,3,FALSE),0))</f>
        <v/>
      </c>
      <c r="F45" s="8" t="n"/>
      <c r="G45" s="9" t="n"/>
      <c r="H45" s="9" t="n"/>
      <c r="I45" s="9" t="n"/>
      <c r="J45" s="6" t="n"/>
      <c r="K45" s="10">
        <f>IF(OR($C45="",$D45=""),"",$D45*$E45-N($F45))</f>
        <v/>
      </c>
      <c r="L45" s="11">
        <f>IF(OR($C45="",$D45=""),"",$D45*IFERROR(VLOOKUP($C45,'4. Produtos'!$A$6:$E$25,2,FALSE),0))</f>
        <v/>
      </c>
      <c r="M45" s="10">
        <f>IF(OR($C45="",$D45=""),"",$K45-$L45)</f>
        <v/>
      </c>
      <c r="N45" s="12">
        <f>IF($A45="","",EOMONTH($A45,0))</f>
        <v/>
      </c>
    </row>
    <row r="46">
      <c r="A46" s="5" t="n"/>
      <c r="B46" s="6" t="n"/>
      <c r="C46" s="6" t="n"/>
      <c r="D46" s="7" t="n"/>
      <c r="E46" s="8">
        <f>IF($C46="","",IFERROR(VLOOKUP($C46,'4. Produtos'!$A$6:$E$25,3,FALSE),0))</f>
        <v/>
      </c>
      <c r="F46" s="8" t="n"/>
      <c r="G46" s="9" t="n"/>
      <c r="H46" s="9" t="n"/>
      <c r="I46" s="9" t="n"/>
      <c r="J46" s="6" t="n"/>
      <c r="K46" s="10">
        <f>IF(OR($C46="",$D46=""),"",$D46*$E46-N($F46))</f>
        <v/>
      </c>
      <c r="L46" s="11">
        <f>IF(OR($C46="",$D46=""),"",$D46*IFERROR(VLOOKUP($C46,'4. Produtos'!$A$6:$E$25,2,FALSE),0))</f>
        <v/>
      </c>
      <c r="M46" s="10">
        <f>IF(OR($C46="",$D46=""),"",$K46-$L46)</f>
        <v/>
      </c>
      <c r="N46" s="12">
        <f>IF($A46="","",EOMONTH($A46,0))</f>
        <v/>
      </c>
    </row>
    <row r="47">
      <c r="A47" s="5" t="n"/>
      <c r="B47" s="6" t="n"/>
      <c r="C47" s="6" t="n"/>
      <c r="D47" s="7" t="n"/>
      <c r="E47" s="8">
        <f>IF($C47="","",IFERROR(VLOOKUP($C47,'4. Produtos'!$A$6:$E$25,3,FALSE),0))</f>
        <v/>
      </c>
      <c r="F47" s="8" t="n"/>
      <c r="G47" s="9" t="n"/>
      <c r="H47" s="9" t="n"/>
      <c r="I47" s="9" t="n"/>
      <c r="J47" s="6" t="n"/>
      <c r="K47" s="10">
        <f>IF(OR($C47="",$D47=""),"",$D47*$E47-N($F47))</f>
        <v/>
      </c>
      <c r="L47" s="11">
        <f>IF(OR($C47="",$D47=""),"",$D47*IFERROR(VLOOKUP($C47,'4. Produtos'!$A$6:$E$25,2,FALSE),0))</f>
        <v/>
      </c>
      <c r="M47" s="10">
        <f>IF(OR($C47="",$D47=""),"",$K47-$L47)</f>
        <v/>
      </c>
      <c r="N47" s="12">
        <f>IF($A47="","",EOMONTH($A47,0))</f>
        <v/>
      </c>
    </row>
    <row r="48">
      <c r="A48" s="5" t="n"/>
      <c r="B48" s="6" t="n"/>
      <c r="C48" s="6" t="n"/>
      <c r="D48" s="7" t="n"/>
      <c r="E48" s="8">
        <f>IF($C48="","",IFERROR(VLOOKUP($C48,'4. Produtos'!$A$6:$E$25,3,FALSE),0))</f>
        <v/>
      </c>
      <c r="F48" s="8" t="n"/>
      <c r="G48" s="9" t="n"/>
      <c r="H48" s="9" t="n"/>
      <c r="I48" s="9" t="n"/>
      <c r="J48" s="6" t="n"/>
      <c r="K48" s="10">
        <f>IF(OR($C48="",$D48=""),"",$D48*$E48-N($F48))</f>
        <v/>
      </c>
      <c r="L48" s="11">
        <f>IF(OR($C48="",$D48=""),"",$D48*IFERROR(VLOOKUP($C48,'4. Produtos'!$A$6:$E$25,2,FALSE),0))</f>
        <v/>
      </c>
      <c r="M48" s="10">
        <f>IF(OR($C48="",$D48=""),"",$K48-$L48)</f>
        <v/>
      </c>
      <c r="N48" s="12">
        <f>IF($A48="","",EOMONTH($A48,0))</f>
        <v/>
      </c>
    </row>
    <row r="49">
      <c r="A49" s="5" t="n"/>
      <c r="B49" s="6" t="n"/>
      <c r="C49" s="6" t="n"/>
      <c r="D49" s="7" t="n"/>
      <c r="E49" s="8">
        <f>IF($C49="","",IFERROR(VLOOKUP($C49,'4. Produtos'!$A$6:$E$25,3,FALSE),0))</f>
        <v/>
      </c>
      <c r="F49" s="8" t="n"/>
      <c r="G49" s="9" t="n"/>
      <c r="H49" s="9" t="n"/>
      <c r="I49" s="9" t="n"/>
      <c r="J49" s="6" t="n"/>
      <c r="K49" s="10">
        <f>IF(OR($C49="",$D49=""),"",$D49*$E49-N($F49))</f>
        <v/>
      </c>
      <c r="L49" s="11">
        <f>IF(OR($C49="",$D49=""),"",$D49*IFERROR(VLOOKUP($C49,'4. Produtos'!$A$6:$E$25,2,FALSE),0))</f>
        <v/>
      </c>
      <c r="M49" s="10">
        <f>IF(OR($C49="",$D49=""),"",$K49-$L49)</f>
        <v/>
      </c>
      <c r="N49" s="12">
        <f>IF($A49="","",EOMONTH($A49,0))</f>
        <v/>
      </c>
    </row>
    <row r="50">
      <c r="A50" s="5" t="n"/>
      <c r="B50" s="6" t="n"/>
      <c r="C50" s="6" t="n"/>
      <c r="D50" s="7" t="n"/>
      <c r="E50" s="8">
        <f>IF($C50="","",IFERROR(VLOOKUP($C50,'4. Produtos'!$A$6:$E$25,3,FALSE),0))</f>
        <v/>
      </c>
      <c r="F50" s="8" t="n"/>
      <c r="G50" s="9" t="n"/>
      <c r="H50" s="9" t="n"/>
      <c r="I50" s="9" t="n"/>
      <c r="J50" s="6" t="n"/>
      <c r="K50" s="10">
        <f>IF(OR($C50="",$D50=""),"",$D50*$E50-N($F50))</f>
        <v/>
      </c>
      <c r="L50" s="11">
        <f>IF(OR($C50="",$D50=""),"",$D50*IFERROR(VLOOKUP($C50,'4. Produtos'!$A$6:$E$25,2,FALSE),0))</f>
        <v/>
      </c>
      <c r="M50" s="10">
        <f>IF(OR($C50="",$D50=""),"",$K50-$L50)</f>
        <v/>
      </c>
      <c r="N50" s="12">
        <f>IF($A50="","",EOMONTH($A50,0))</f>
        <v/>
      </c>
    </row>
    <row r="51">
      <c r="A51" s="5" t="n"/>
      <c r="B51" s="6" t="n"/>
      <c r="C51" s="6" t="n"/>
      <c r="D51" s="7" t="n"/>
      <c r="E51" s="8">
        <f>IF($C51="","",IFERROR(VLOOKUP($C51,'4. Produtos'!$A$6:$E$25,3,FALSE),0))</f>
        <v/>
      </c>
      <c r="F51" s="8" t="n"/>
      <c r="G51" s="9" t="n"/>
      <c r="H51" s="9" t="n"/>
      <c r="I51" s="9" t="n"/>
      <c r="J51" s="6" t="n"/>
      <c r="K51" s="10">
        <f>IF(OR($C51="",$D51=""),"",$D51*$E51-N($F51))</f>
        <v/>
      </c>
      <c r="L51" s="11">
        <f>IF(OR($C51="",$D51=""),"",$D51*IFERROR(VLOOKUP($C51,'4. Produtos'!$A$6:$E$25,2,FALSE),0))</f>
        <v/>
      </c>
      <c r="M51" s="10">
        <f>IF(OR($C51="",$D51=""),"",$K51-$L51)</f>
        <v/>
      </c>
      <c r="N51" s="12">
        <f>IF($A51="","",EOMONTH($A51,0))</f>
        <v/>
      </c>
    </row>
    <row r="52">
      <c r="A52" s="5" t="n"/>
      <c r="B52" s="6" t="n"/>
      <c r="C52" s="6" t="n"/>
      <c r="D52" s="7" t="n"/>
      <c r="E52" s="8">
        <f>IF($C52="","",IFERROR(VLOOKUP($C52,'4. Produtos'!$A$6:$E$25,3,FALSE),0))</f>
        <v/>
      </c>
      <c r="F52" s="8" t="n"/>
      <c r="G52" s="9" t="n"/>
      <c r="H52" s="9" t="n"/>
      <c r="I52" s="9" t="n"/>
      <c r="J52" s="6" t="n"/>
      <c r="K52" s="10">
        <f>IF(OR($C52="",$D52=""),"",$D52*$E52-N($F52))</f>
        <v/>
      </c>
      <c r="L52" s="11">
        <f>IF(OR($C52="",$D52=""),"",$D52*IFERROR(VLOOKUP($C52,'4. Produtos'!$A$6:$E$25,2,FALSE),0))</f>
        <v/>
      </c>
      <c r="M52" s="10">
        <f>IF(OR($C52="",$D52=""),"",$K52-$L52)</f>
        <v/>
      </c>
      <c r="N52" s="12">
        <f>IF($A52="","",EOMONTH($A52,0))</f>
        <v/>
      </c>
    </row>
    <row r="53">
      <c r="A53" s="5" t="n"/>
      <c r="B53" s="6" t="n"/>
      <c r="C53" s="6" t="n"/>
      <c r="D53" s="7" t="n"/>
      <c r="E53" s="8">
        <f>IF($C53="","",IFERROR(VLOOKUP($C53,'4. Produtos'!$A$6:$E$25,3,FALSE),0))</f>
        <v/>
      </c>
      <c r="F53" s="8" t="n"/>
      <c r="G53" s="9" t="n"/>
      <c r="H53" s="9" t="n"/>
      <c r="I53" s="9" t="n"/>
      <c r="J53" s="6" t="n"/>
      <c r="K53" s="10">
        <f>IF(OR($C53="",$D53=""),"",$D53*$E53-N($F53))</f>
        <v/>
      </c>
      <c r="L53" s="11">
        <f>IF(OR($C53="",$D53=""),"",$D53*IFERROR(VLOOKUP($C53,'4. Produtos'!$A$6:$E$25,2,FALSE),0))</f>
        <v/>
      </c>
      <c r="M53" s="10">
        <f>IF(OR($C53="",$D53=""),"",$K53-$L53)</f>
        <v/>
      </c>
      <c r="N53" s="12">
        <f>IF($A53="","",EOMONTH($A53,0))</f>
        <v/>
      </c>
    </row>
    <row r="54">
      <c r="A54" s="5" t="n"/>
      <c r="B54" s="6" t="n"/>
      <c r="C54" s="6" t="n"/>
      <c r="D54" s="7" t="n"/>
      <c r="E54" s="8">
        <f>IF($C54="","",IFERROR(VLOOKUP($C54,'4. Produtos'!$A$6:$E$25,3,FALSE),0))</f>
        <v/>
      </c>
      <c r="F54" s="8" t="n"/>
      <c r="G54" s="9" t="n"/>
      <c r="H54" s="9" t="n"/>
      <c r="I54" s="9" t="n"/>
      <c r="J54" s="6" t="n"/>
      <c r="K54" s="10">
        <f>IF(OR($C54="",$D54=""),"",$D54*$E54-N($F54))</f>
        <v/>
      </c>
      <c r="L54" s="11">
        <f>IF(OR($C54="",$D54=""),"",$D54*IFERROR(VLOOKUP($C54,'4. Produtos'!$A$6:$E$25,2,FALSE),0))</f>
        <v/>
      </c>
      <c r="M54" s="10">
        <f>IF(OR($C54="",$D54=""),"",$K54-$L54)</f>
        <v/>
      </c>
      <c r="N54" s="12">
        <f>IF($A54="","",EOMONTH($A54,0))</f>
        <v/>
      </c>
    </row>
    <row r="55">
      <c r="A55" s="5" t="n"/>
      <c r="B55" s="6" t="n"/>
      <c r="C55" s="6" t="n"/>
      <c r="D55" s="7" t="n"/>
      <c r="E55" s="8">
        <f>IF($C55="","",IFERROR(VLOOKUP($C55,'4. Produtos'!$A$6:$E$25,3,FALSE),0))</f>
        <v/>
      </c>
      <c r="F55" s="8" t="n"/>
      <c r="G55" s="9" t="n"/>
      <c r="H55" s="9" t="n"/>
      <c r="I55" s="9" t="n"/>
      <c r="J55" s="6" t="n"/>
      <c r="K55" s="10">
        <f>IF(OR($C55="",$D55=""),"",$D55*$E55-N($F55))</f>
        <v/>
      </c>
      <c r="L55" s="11">
        <f>IF(OR($C55="",$D55=""),"",$D55*IFERROR(VLOOKUP($C55,'4. Produtos'!$A$6:$E$25,2,FALSE),0))</f>
        <v/>
      </c>
      <c r="M55" s="10">
        <f>IF(OR($C55="",$D55=""),"",$K55-$L55)</f>
        <v/>
      </c>
      <c r="N55" s="12">
        <f>IF($A55="","",EOMONTH($A55,0))</f>
        <v/>
      </c>
    </row>
    <row r="56">
      <c r="A56" s="5" t="n"/>
      <c r="B56" s="6" t="n"/>
      <c r="C56" s="6" t="n"/>
      <c r="D56" s="7" t="n"/>
      <c r="E56" s="8">
        <f>IF($C56="","",IFERROR(VLOOKUP($C56,'4. Produtos'!$A$6:$E$25,3,FALSE),0))</f>
        <v/>
      </c>
      <c r="F56" s="8" t="n"/>
      <c r="G56" s="9" t="n"/>
      <c r="H56" s="9" t="n"/>
      <c r="I56" s="9" t="n"/>
      <c r="J56" s="6" t="n"/>
      <c r="K56" s="10">
        <f>IF(OR($C56="",$D56=""),"",$D56*$E56-N($F56))</f>
        <v/>
      </c>
      <c r="L56" s="11">
        <f>IF(OR($C56="",$D56=""),"",$D56*IFERROR(VLOOKUP($C56,'4. Produtos'!$A$6:$E$25,2,FALSE),0))</f>
        <v/>
      </c>
      <c r="M56" s="10">
        <f>IF(OR($C56="",$D56=""),"",$K56-$L56)</f>
        <v/>
      </c>
      <c r="N56" s="12">
        <f>IF($A56="","",EOMONTH($A56,0))</f>
        <v/>
      </c>
    </row>
    <row r="57">
      <c r="A57" s="5" t="n"/>
      <c r="B57" s="6" t="n"/>
      <c r="C57" s="6" t="n"/>
      <c r="D57" s="7" t="n"/>
      <c r="E57" s="8">
        <f>IF($C57="","",IFERROR(VLOOKUP($C57,'4. Produtos'!$A$6:$E$25,3,FALSE),0))</f>
        <v/>
      </c>
      <c r="F57" s="8" t="n"/>
      <c r="G57" s="9" t="n"/>
      <c r="H57" s="9" t="n"/>
      <c r="I57" s="9" t="n"/>
      <c r="J57" s="6" t="n"/>
      <c r="K57" s="10">
        <f>IF(OR($C57="",$D57=""),"",$D57*$E57-N($F57))</f>
        <v/>
      </c>
      <c r="L57" s="11">
        <f>IF(OR($C57="",$D57=""),"",$D57*IFERROR(VLOOKUP($C57,'4. Produtos'!$A$6:$E$25,2,FALSE),0))</f>
        <v/>
      </c>
      <c r="M57" s="10">
        <f>IF(OR($C57="",$D57=""),"",$K57-$L57)</f>
        <v/>
      </c>
      <c r="N57" s="12">
        <f>IF($A57="","",EOMONTH($A57,0))</f>
        <v/>
      </c>
    </row>
    <row r="58">
      <c r="A58" s="5" t="n"/>
      <c r="B58" s="6" t="n"/>
      <c r="C58" s="6" t="n"/>
      <c r="D58" s="7" t="n"/>
      <c r="E58" s="8">
        <f>IF($C58="","",IFERROR(VLOOKUP($C58,'4. Produtos'!$A$6:$E$25,3,FALSE),0))</f>
        <v/>
      </c>
      <c r="F58" s="8" t="n"/>
      <c r="G58" s="9" t="n"/>
      <c r="H58" s="9" t="n"/>
      <c r="I58" s="9" t="n"/>
      <c r="J58" s="6" t="n"/>
      <c r="K58" s="10">
        <f>IF(OR($C58="",$D58=""),"",$D58*$E58-N($F58))</f>
        <v/>
      </c>
      <c r="L58" s="11">
        <f>IF(OR($C58="",$D58=""),"",$D58*IFERROR(VLOOKUP($C58,'4. Produtos'!$A$6:$E$25,2,FALSE),0))</f>
        <v/>
      </c>
      <c r="M58" s="10">
        <f>IF(OR($C58="",$D58=""),"",$K58-$L58)</f>
        <v/>
      </c>
      <c r="N58" s="12">
        <f>IF($A58="","",EOMONTH($A58,0))</f>
        <v/>
      </c>
    </row>
    <row r="59">
      <c r="A59" s="5" t="n"/>
      <c r="B59" s="6" t="n"/>
      <c r="C59" s="6" t="n"/>
      <c r="D59" s="7" t="n"/>
      <c r="E59" s="8">
        <f>IF($C59="","",IFERROR(VLOOKUP($C59,'4. Produtos'!$A$6:$E$25,3,FALSE),0))</f>
        <v/>
      </c>
      <c r="F59" s="8" t="n"/>
      <c r="G59" s="9" t="n"/>
      <c r="H59" s="9" t="n"/>
      <c r="I59" s="9" t="n"/>
      <c r="J59" s="6" t="n"/>
      <c r="K59" s="10">
        <f>IF(OR($C59="",$D59=""),"",$D59*$E59-N($F59))</f>
        <v/>
      </c>
      <c r="L59" s="11">
        <f>IF(OR($C59="",$D59=""),"",$D59*IFERROR(VLOOKUP($C59,'4. Produtos'!$A$6:$E$25,2,FALSE),0))</f>
        <v/>
      </c>
      <c r="M59" s="10">
        <f>IF(OR($C59="",$D59=""),"",$K59-$L59)</f>
        <v/>
      </c>
      <c r="N59" s="12">
        <f>IF($A59="","",EOMONTH($A59,0))</f>
        <v/>
      </c>
    </row>
    <row r="60">
      <c r="A60" s="5" t="n"/>
      <c r="B60" s="6" t="n"/>
      <c r="C60" s="6" t="n"/>
      <c r="D60" s="7" t="n"/>
      <c r="E60" s="8">
        <f>IF($C60="","",IFERROR(VLOOKUP($C60,'4. Produtos'!$A$6:$E$25,3,FALSE),0))</f>
        <v/>
      </c>
      <c r="F60" s="8" t="n"/>
      <c r="G60" s="9" t="n"/>
      <c r="H60" s="9" t="n"/>
      <c r="I60" s="9" t="n"/>
      <c r="J60" s="6" t="n"/>
      <c r="K60" s="10">
        <f>IF(OR($C60="",$D60=""),"",$D60*$E60-N($F60))</f>
        <v/>
      </c>
      <c r="L60" s="11">
        <f>IF(OR($C60="",$D60=""),"",$D60*IFERROR(VLOOKUP($C60,'4. Produtos'!$A$6:$E$25,2,FALSE),0))</f>
        <v/>
      </c>
      <c r="M60" s="10">
        <f>IF(OR($C60="",$D60=""),"",$K60-$L60)</f>
        <v/>
      </c>
      <c r="N60" s="12">
        <f>IF($A60="","",EOMONTH($A60,0))</f>
        <v/>
      </c>
    </row>
    <row r="61">
      <c r="A61" s="5" t="n"/>
      <c r="B61" s="6" t="n"/>
      <c r="C61" s="6" t="n"/>
      <c r="D61" s="7" t="n"/>
      <c r="E61" s="8">
        <f>IF($C61="","",IFERROR(VLOOKUP($C61,'4. Produtos'!$A$6:$E$25,3,FALSE),0))</f>
        <v/>
      </c>
      <c r="F61" s="8" t="n"/>
      <c r="G61" s="9" t="n"/>
      <c r="H61" s="9" t="n"/>
      <c r="I61" s="9" t="n"/>
      <c r="J61" s="6" t="n"/>
      <c r="K61" s="10">
        <f>IF(OR($C61="",$D61=""),"",$D61*$E61-N($F61))</f>
        <v/>
      </c>
      <c r="L61" s="11">
        <f>IF(OR($C61="",$D61=""),"",$D61*IFERROR(VLOOKUP($C61,'4. Produtos'!$A$6:$E$25,2,FALSE),0))</f>
        <v/>
      </c>
      <c r="M61" s="10">
        <f>IF(OR($C61="",$D61=""),"",$K61-$L61)</f>
        <v/>
      </c>
      <c r="N61" s="12">
        <f>IF($A61="","",EOMONTH($A61,0))</f>
        <v/>
      </c>
    </row>
    <row r="62">
      <c r="A62" s="5" t="n"/>
      <c r="B62" s="6" t="n"/>
      <c r="C62" s="6" t="n"/>
      <c r="D62" s="7" t="n"/>
      <c r="E62" s="8">
        <f>IF($C62="","",IFERROR(VLOOKUP($C62,'4. Produtos'!$A$6:$E$25,3,FALSE),0))</f>
        <v/>
      </c>
      <c r="F62" s="8" t="n"/>
      <c r="G62" s="9" t="n"/>
      <c r="H62" s="9" t="n"/>
      <c r="I62" s="9" t="n"/>
      <c r="J62" s="6" t="n"/>
      <c r="K62" s="10">
        <f>IF(OR($C62="",$D62=""),"",$D62*$E62-N($F62))</f>
        <v/>
      </c>
      <c r="L62" s="11">
        <f>IF(OR($C62="",$D62=""),"",$D62*IFERROR(VLOOKUP($C62,'4. Produtos'!$A$6:$E$25,2,FALSE),0))</f>
        <v/>
      </c>
      <c r="M62" s="10">
        <f>IF(OR($C62="",$D62=""),"",$K62-$L62)</f>
        <v/>
      </c>
      <c r="N62" s="12">
        <f>IF($A62="","",EOMONTH($A62,0))</f>
        <v/>
      </c>
    </row>
    <row r="63">
      <c r="A63" s="5" t="n"/>
      <c r="B63" s="6" t="n"/>
      <c r="C63" s="6" t="n"/>
      <c r="D63" s="7" t="n"/>
      <c r="E63" s="8">
        <f>IF($C63="","",IFERROR(VLOOKUP($C63,'4. Produtos'!$A$6:$E$25,3,FALSE),0))</f>
        <v/>
      </c>
      <c r="F63" s="8" t="n"/>
      <c r="G63" s="9" t="n"/>
      <c r="H63" s="9" t="n"/>
      <c r="I63" s="9" t="n"/>
      <c r="J63" s="6" t="n"/>
      <c r="K63" s="10">
        <f>IF(OR($C63="",$D63=""),"",$D63*$E63-N($F63))</f>
        <v/>
      </c>
      <c r="L63" s="11">
        <f>IF(OR($C63="",$D63=""),"",$D63*IFERROR(VLOOKUP($C63,'4. Produtos'!$A$6:$E$25,2,FALSE),0))</f>
        <v/>
      </c>
      <c r="M63" s="10">
        <f>IF(OR($C63="",$D63=""),"",$K63-$L63)</f>
        <v/>
      </c>
      <c r="N63" s="12">
        <f>IF($A63="","",EOMONTH($A63,0))</f>
        <v/>
      </c>
    </row>
    <row r="64">
      <c r="A64" s="5" t="n"/>
      <c r="B64" s="6" t="n"/>
      <c r="C64" s="6" t="n"/>
      <c r="D64" s="7" t="n"/>
      <c r="E64" s="8">
        <f>IF($C64="","",IFERROR(VLOOKUP($C64,'4. Produtos'!$A$6:$E$25,3,FALSE),0))</f>
        <v/>
      </c>
      <c r="F64" s="8" t="n"/>
      <c r="G64" s="9" t="n"/>
      <c r="H64" s="9" t="n"/>
      <c r="I64" s="9" t="n"/>
      <c r="J64" s="6" t="n"/>
      <c r="K64" s="10">
        <f>IF(OR($C64="",$D64=""),"",$D64*$E64-N($F64))</f>
        <v/>
      </c>
      <c r="L64" s="11">
        <f>IF(OR($C64="",$D64=""),"",$D64*IFERROR(VLOOKUP($C64,'4. Produtos'!$A$6:$E$25,2,FALSE),0))</f>
        <v/>
      </c>
      <c r="M64" s="10">
        <f>IF(OR($C64="",$D64=""),"",$K64-$L64)</f>
        <v/>
      </c>
      <c r="N64" s="12">
        <f>IF($A64="","",EOMONTH($A64,0))</f>
        <v/>
      </c>
    </row>
    <row r="65">
      <c r="A65" s="5" t="n"/>
      <c r="B65" s="6" t="n"/>
      <c r="C65" s="6" t="n"/>
      <c r="D65" s="7" t="n"/>
      <c r="E65" s="8">
        <f>IF($C65="","",IFERROR(VLOOKUP($C65,'4. Produtos'!$A$6:$E$25,3,FALSE),0))</f>
        <v/>
      </c>
      <c r="F65" s="8" t="n"/>
      <c r="G65" s="9" t="n"/>
      <c r="H65" s="9" t="n"/>
      <c r="I65" s="9" t="n"/>
      <c r="J65" s="6" t="n"/>
      <c r="K65" s="10">
        <f>IF(OR($C65="",$D65=""),"",$D65*$E65-N($F65))</f>
        <v/>
      </c>
      <c r="L65" s="11">
        <f>IF(OR($C65="",$D65=""),"",$D65*IFERROR(VLOOKUP($C65,'4. Produtos'!$A$6:$E$25,2,FALSE),0))</f>
        <v/>
      </c>
      <c r="M65" s="10">
        <f>IF(OR($C65="",$D65=""),"",$K65-$L65)</f>
        <v/>
      </c>
      <c r="N65" s="12">
        <f>IF($A65="","",EOMONTH($A65,0))</f>
        <v/>
      </c>
    </row>
    <row r="66">
      <c r="A66" s="5" t="n"/>
      <c r="B66" s="6" t="n"/>
      <c r="C66" s="6" t="n"/>
      <c r="D66" s="7" t="n"/>
      <c r="E66" s="8">
        <f>IF($C66="","",IFERROR(VLOOKUP($C66,'4. Produtos'!$A$6:$E$25,3,FALSE),0))</f>
        <v/>
      </c>
      <c r="F66" s="8" t="n"/>
      <c r="G66" s="9" t="n"/>
      <c r="H66" s="9" t="n"/>
      <c r="I66" s="9" t="n"/>
      <c r="J66" s="6" t="n"/>
      <c r="K66" s="10">
        <f>IF(OR($C66="",$D66=""),"",$D66*$E66-N($F66))</f>
        <v/>
      </c>
      <c r="L66" s="11">
        <f>IF(OR($C66="",$D66=""),"",$D66*IFERROR(VLOOKUP($C66,'4. Produtos'!$A$6:$E$25,2,FALSE),0))</f>
        <v/>
      </c>
      <c r="M66" s="10">
        <f>IF(OR($C66="",$D66=""),"",$K66-$L66)</f>
        <v/>
      </c>
      <c r="N66" s="12">
        <f>IF($A66="","",EOMONTH($A66,0))</f>
        <v/>
      </c>
    </row>
    <row r="67">
      <c r="A67" s="5" t="n"/>
      <c r="B67" s="6" t="n"/>
      <c r="C67" s="6" t="n"/>
      <c r="D67" s="7" t="n"/>
      <c r="E67" s="8">
        <f>IF($C67="","",IFERROR(VLOOKUP($C67,'4. Produtos'!$A$6:$E$25,3,FALSE),0))</f>
        <v/>
      </c>
      <c r="F67" s="8" t="n"/>
      <c r="G67" s="9" t="n"/>
      <c r="H67" s="9" t="n"/>
      <c r="I67" s="9" t="n"/>
      <c r="J67" s="6" t="n"/>
      <c r="K67" s="10">
        <f>IF(OR($C67="",$D67=""),"",$D67*$E67-N($F67))</f>
        <v/>
      </c>
      <c r="L67" s="11">
        <f>IF(OR($C67="",$D67=""),"",$D67*IFERROR(VLOOKUP($C67,'4. Produtos'!$A$6:$E$25,2,FALSE),0))</f>
        <v/>
      </c>
      <c r="M67" s="10">
        <f>IF(OR($C67="",$D67=""),"",$K67-$L67)</f>
        <v/>
      </c>
      <c r="N67" s="12">
        <f>IF($A67="","",EOMONTH($A67,0))</f>
        <v/>
      </c>
    </row>
    <row r="68">
      <c r="A68" s="5" t="n"/>
      <c r="B68" s="6" t="n"/>
      <c r="C68" s="6" t="n"/>
      <c r="D68" s="7" t="n"/>
      <c r="E68" s="8">
        <f>IF($C68="","",IFERROR(VLOOKUP($C68,'4. Produtos'!$A$6:$E$25,3,FALSE),0))</f>
        <v/>
      </c>
      <c r="F68" s="8" t="n"/>
      <c r="G68" s="9" t="n"/>
      <c r="H68" s="9" t="n"/>
      <c r="I68" s="9" t="n"/>
      <c r="J68" s="6" t="n"/>
      <c r="K68" s="10">
        <f>IF(OR($C68="",$D68=""),"",$D68*$E68-N($F68))</f>
        <v/>
      </c>
      <c r="L68" s="11">
        <f>IF(OR($C68="",$D68=""),"",$D68*IFERROR(VLOOKUP($C68,'4. Produtos'!$A$6:$E$25,2,FALSE),0))</f>
        <v/>
      </c>
      <c r="M68" s="10">
        <f>IF(OR($C68="",$D68=""),"",$K68-$L68)</f>
        <v/>
      </c>
      <c r="N68" s="12">
        <f>IF($A68="","",EOMONTH($A68,0))</f>
        <v/>
      </c>
    </row>
    <row r="69">
      <c r="A69" s="5" t="n"/>
      <c r="B69" s="6" t="n"/>
      <c r="C69" s="6" t="n"/>
      <c r="D69" s="7" t="n"/>
      <c r="E69" s="8">
        <f>IF($C69="","",IFERROR(VLOOKUP($C69,'4. Produtos'!$A$6:$E$25,3,FALSE),0))</f>
        <v/>
      </c>
      <c r="F69" s="8" t="n"/>
      <c r="G69" s="9" t="n"/>
      <c r="H69" s="9" t="n"/>
      <c r="I69" s="9" t="n"/>
      <c r="J69" s="6" t="n"/>
      <c r="K69" s="10">
        <f>IF(OR($C69="",$D69=""),"",$D69*$E69-N($F69))</f>
        <v/>
      </c>
      <c r="L69" s="11">
        <f>IF(OR($C69="",$D69=""),"",$D69*IFERROR(VLOOKUP($C69,'4. Produtos'!$A$6:$E$25,2,FALSE),0))</f>
        <v/>
      </c>
      <c r="M69" s="10">
        <f>IF(OR($C69="",$D69=""),"",$K69-$L69)</f>
        <v/>
      </c>
      <c r="N69" s="12">
        <f>IF($A69="","",EOMONTH($A69,0))</f>
        <v/>
      </c>
    </row>
    <row r="70">
      <c r="A70" s="5" t="n"/>
      <c r="B70" s="6" t="n"/>
      <c r="C70" s="6" t="n"/>
      <c r="D70" s="7" t="n"/>
      <c r="E70" s="8">
        <f>IF($C70="","",IFERROR(VLOOKUP($C70,'4. Produtos'!$A$6:$E$25,3,FALSE),0))</f>
        <v/>
      </c>
      <c r="F70" s="8" t="n"/>
      <c r="G70" s="9" t="n"/>
      <c r="H70" s="9" t="n"/>
      <c r="I70" s="9" t="n"/>
      <c r="J70" s="6" t="n"/>
      <c r="K70" s="10">
        <f>IF(OR($C70="",$D70=""),"",$D70*$E70-N($F70))</f>
        <v/>
      </c>
      <c r="L70" s="11">
        <f>IF(OR($C70="",$D70=""),"",$D70*IFERROR(VLOOKUP($C70,'4. Produtos'!$A$6:$E$25,2,FALSE),0))</f>
        <v/>
      </c>
      <c r="M70" s="10">
        <f>IF(OR($C70="",$D70=""),"",$K70-$L70)</f>
        <v/>
      </c>
      <c r="N70" s="12">
        <f>IF($A70="","",EOMONTH($A70,0))</f>
        <v/>
      </c>
    </row>
    <row r="71">
      <c r="A71" s="5" t="n"/>
      <c r="B71" s="6" t="n"/>
      <c r="C71" s="6" t="n"/>
      <c r="D71" s="7" t="n"/>
      <c r="E71" s="8">
        <f>IF($C71="","",IFERROR(VLOOKUP($C71,'4. Produtos'!$A$6:$E$25,3,FALSE),0))</f>
        <v/>
      </c>
      <c r="F71" s="8" t="n"/>
      <c r="G71" s="9" t="n"/>
      <c r="H71" s="9" t="n"/>
      <c r="I71" s="9" t="n"/>
      <c r="J71" s="6" t="n"/>
      <c r="K71" s="10">
        <f>IF(OR($C71="",$D71=""),"",$D71*$E71-N($F71))</f>
        <v/>
      </c>
      <c r="L71" s="11">
        <f>IF(OR($C71="",$D71=""),"",$D71*IFERROR(VLOOKUP($C71,'4. Produtos'!$A$6:$E$25,2,FALSE),0))</f>
        <v/>
      </c>
      <c r="M71" s="10">
        <f>IF(OR($C71="",$D71=""),"",$K71-$L71)</f>
        <v/>
      </c>
      <c r="N71" s="12">
        <f>IF($A71="","",EOMONTH($A71,0))</f>
        <v/>
      </c>
    </row>
    <row r="72">
      <c r="A72" s="5" t="n"/>
      <c r="B72" s="6" t="n"/>
      <c r="C72" s="6" t="n"/>
      <c r="D72" s="7" t="n"/>
      <c r="E72" s="8">
        <f>IF($C72="","",IFERROR(VLOOKUP($C72,'4. Produtos'!$A$6:$E$25,3,FALSE),0))</f>
        <v/>
      </c>
      <c r="F72" s="8" t="n"/>
      <c r="G72" s="9" t="n"/>
      <c r="H72" s="9" t="n"/>
      <c r="I72" s="9" t="n"/>
      <c r="J72" s="6" t="n"/>
      <c r="K72" s="10">
        <f>IF(OR($C72="",$D72=""),"",$D72*$E72-N($F72))</f>
        <v/>
      </c>
      <c r="L72" s="11">
        <f>IF(OR($C72="",$D72=""),"",$D72*IFERROR(VLOOKUP($C72,'4. Produtos'!$A$6:$E$25,2,FALSE),0))</f>
        <v/>
      </c>
      <c r="M72" s="10">
        <f>IF(OR($C72="",$D72=""),"",$K72-$L72)</f>
        <v/>
      </c>
      <c r="N72" s="12">
        <f>IF($A72="","",EOMONTH($A72,0))</f>
        <v/>
      </c>
    </row>
    <row r="73">
      <c r="A73" s="5" t="n"/>
      <c r="B73" s="6" t="n"/>
      <c r="C73" s="6" t="n"/>
      <c r="D73" s="7" t="n"/>
      <c r="E73" s="8">
        <f>IF($C73="","",IFERROR(VLOOKUP($C73,'4. Produtos'!$A$6:$E$25,3,FALSE),0))</f>
        <v/>
      </c>
      <c r="F73" s="8" t="n"/>
      <c r="G73" s="9" t="n"/>
      <c r="H73" s="9" t="n"/>
      <c r="I73" s="9" t="n"/>
      <c r="J73" s="6" t="n"/>
      <c r="K73" s="10">
        <f>IF(OR($C73="",$D73=""),"",$D73*$E73-N($F73))</f>
        <v/>
      </c>
      <c r="L73" s="11">
        <f>IF(OR($C73="",$D73=""),"",$D73*IFERROR(VLOOKUP($C73,'4. Produtos'!$A$6:$E$25,2,FALSE),0))</f>
        <v/>
      </c>
      <c r="M73" s="10">
        <f>IF(OR($C73="",$D73=""),"",$K73-$L73)</f>
        <v/>
      </c>
      <c r="N73" s="12">
        <f>IF($A73="","",EOMONTH($A73,0))</f>
        <v/>
      </c>
    </row>
    <row r="74">
      <c r="A74" s="5" t="n"/>
      <c r="B74" s="6" t="n"/>
      <c r="C74" s="6" t="n"/>
      <c r="D74" s="7" t="n"/>
      <c r="E74" s="8">
        <f>IF($C74="","",IFERROR(VLOOKUP($C74,'4. Produtos'!$A$6:$E$25,3,FALSE),0))</f>
        <v/>
      </c>
      <c r="F74" s="8" t="n"/>
      <c r="G74" s="9" t="n"/>
      <c r="H74" s="9" t="n"/>
      <c r="I74" s="9" t="n"/>
      <c r="J74" s="6" t="n"/>
      <c r="K74" s="10">
        <f>IF(OR($C74="",$D74=""),"",$D74*$E74-N($F74))</f>
        <v/>
      </c>
      <c r="L74" s="11">
        <f>IF(OR($C74="",$D74=""),"",$D74*IFERROR(VLOOKUP($C74,'4. Produtos'!$A$6:$E$25,2,FALSE),0))</f>
        <v/>
      </c>
      <c r="M74" s="10">
        <f>IF(OR($C74="",$D74=""),"",$K74-$L74)</f>
        <v/>
      </c>
      <c r="N74" s="12">
        <f>IF($A74="","",EOMONTH($A74,0))</f>
        <v/>
      </c>
    </row>
    <row r="75">
      <c r="A75" s="5" t="n"/>
      <c r="B75" s="6" t="n"/>
      <c r="C75" s="6" t="n"/>
      <c r="D75" s="7" t="n"/>
      <c r="E75" s="8">
        <f>IF($C75="","",IFERROR(VLOOKUP($C75,'4. Produtos'!$A$6:$E$25,3,FALSE),0))</f>
        <v/>
      </c>
      <c r="F75" s="8" t="n"/>
      <c r="G75" s="9" t="n"/>
      <c r="H75" s="9" t="n"/>
      <c r="I75" s="9" t="n"/>
      <c r="J75" s="6" t="n"/>
      <c r="K75" s="10">
        <f>IF(OR($C75="",$D75=""),"",$D75*$E75-N($F75))</f>
        <v/>
      </c>
      <c r="L75" s="11">
        <f>IF(OR($C75="",$D75=""),"",$D75*IFERROR(VLOOKUP($C75,'4. Produtos'!$A$6:$E$25,2,FALSE),0))</f>
        <v/>
      </c>
      <c r="M75" s="10">
        <f>IF(OR($C75="",$D75=""),"",$K75-$L75)</f>
        <v/>
      </c>
      <c r="N75" s="12">
        <f>IF($A75="","",EOMONTH($A75,0))</f>
        <v/>
      </c>
    </row>
    <row r="76">
      <c r="A76" s="5" t="n"/>
      <c r="B76" s="6" t="n"/>
      <c r="C76" s="6" t="n"/>
      <c r="D76" s="7" t="n"/>
      <c r="E76" s="8">
        <f>IF($C76="","",IFERROR(VLOOKUP($C76,'4. Produtos'!$A$6:$E$25,3,FALSE),0))</f>
        <v/>
      </c>
      <c r="F76" s="8" t="n"/>
      <c r="G76" s="9" t="n"/>
      <c r="H76" s="9" t="n"/>
      <c r="I76" s="9" t="n"/>
      <c r="J76" s="6" t="n"/>
      <c r="K76" s="10">
        <f>IF(OR($C76="",$D76=""),"",$D76*$E76-N($F76))</f>
        <v/>
      </c>
      <c r="L76" s="11">
        <f>IF(OR($C76="",$D76=""),"",$D76*IFERROR(VLOOKUP($C76,'4. Produtos'!$A$6:$E$25,2,FALSE),0))</f>
        <v/>
      </c>
      <c r="M76" s="10">
        <f>IF(OR($C76="",$D76=""),"",$K76-$L76)</f>
        <v/>
      </c>
      <c r="N76" s="12">
        <f>IF($A76="","",EOMONTH($A76,0))</f>
        <v/>
      </c>
    </row>
    <row r="77">
      <c r="A77" s="5" t="n"/>
      <c r="B77" s="6" t="n"/>
      <c r="C77" s="6" t="n"/>
      <c r="D77" s="7" t="n"/>
      <c r="E77" s="8">
        <f>IF($C77="","",IFERROR(VLOOKUP($C77,'4. Produtos'!$A$6:$E$25,3,FALSE),0))</f>
        <v/>
      </c>
      <c r="F77" s="8" t="n"/>
      <c r="G77" s="9" t="n"/>
      <c r="H77" s="9" t="n"/>
      <c r="I77" s="9" t="n"/>
      <c r="J77" s="6" t="n"/>
      <c r="K77" s="10">
        <f>IF(OR($C77="",$D77=""),"",$D77*$E77-N($F77))</f>
        <v/>
      </c>
      <c r="L77" s="11">
        <f>IF(OR($C77="",$D77=""),"",$D77*IFERROR(VLOOKUP($C77,'4. Produtos'!$A$6:$E$25,2,FALSE),0))</f>
        <v/>
      </c>
      <c r="M77" s="10">
        <f>IF(OR($C77="",$D77=""),"",$K77-$L77)</f>
        <v/>
      </c>
      <c r="N77" s="12">
        <f>IF($A77="","",EOMONTH($A77,0))</f>
        <v/>
      </c>
    </row>
    <row r="78">
      <c r="A78" s="5" t="n"/>
      <c r="B78" s="6" t="n"/>
      <c r="C78" s="6" t="n"/>
      <c r="D78" s="7" t="n"/>
      <c r="E78" s="8">
        <f>IF($C78="","",IFERROR(VLOOKUP($C78,'4. Produtos'!$A$6:$E$25,3,FALSE),0))</f>
        <v/>
      </c>
      <c r="F78" s="8" t="n"/>
      <c r="G78" s="9" t="n"/>
      <c r="H78" s="9" t="n"/>
      <c r="I78" s="9" t="n"/>
      <c r="J78" s="6" t="n"/>
      <c r="K78" s="10">
        <f>IF(OR($C78="",$D78=""),"",$D78*$E78-N($F78))</f>
        <v/>
      </c>
      <c r="L78" s="11">
        <f>IF(OR($C78="",$D78=""),"",$D78*IFERROR(VLOOKUP($C78,'4. Produtos'!$A$6:$E$25,2,FALSE),0))</f>
        <v/>
      </c>
      <c r="M78" s="10">
        <f>IF(OR($C78="",$D78=""),"",$K78-$L78)</f>
        <v/>
      </c>
      <c r="N78" s="12">
        <f>IF($A78="","",EOMONTH($A78,0))</f>
        <v/>
      </c>
    </row>
    <row r="79">
      <c r="A79" s="5" t="n"/>
      <c r="B79" s="6" t="n"/>
      <c r="C79" s="6" t="n"/>
      <c r="D79" s="7" t="n"/>
      <c r="E79" s="8">
        <f>IF($C79="","",IFERROR(VLOOKUP($C79,'4. Produtos'!$A$6:$E$25,3,FALSE),0))</f>
        <v/>
      </c>
      <c r="F79" s="8" t="n"/>
      <c r="G79" s="9" t="n"/>
      <c r="H79" s="9" t="n"/>
      <c r="I79" s="9" t="n"/>
      <c r="J79" s="6" t="n"/>
      <c r="K79" s="10">
        <f>IF(OR($C79="",$D79=""),"",$D79*$E79-N($F79))</f>
        <v/>
      </c>
      <c r="L79" s="11">
        <f>IF(OR($C79="",$D79=""),"",$D79*IFERROR(VLOOKUP($C79,'4. Produtos'!$A$6:$E$25,2,FALSE),0))</f>
        <v/>
      </c>
      <c r="M79" s="10">
        <f>IF(OR($C79="",$D79=""),"",$K79-$L79)</f>
        <v/>
      </c>
      <c r="N79" s="12">
        <f>IF($A79="","",EOMONTH($A79,0))</f>
        <v/>
      </c>
    </row>
    <row r="80">
      <c r="A80" s="5" t="n"/>
      <c r="B80" s="6" t="n"/>
      <c r="C80" s="6" t="n"/>
      <c r="D80" s="7" t="n"/>
      <c r="E80" s="8">
        <f>IF($C80="","",IFERROR(VLOOKUP($C80,'4. Produtos'!$A$6:$E$25,3,FALSE),0))</f>
        <v/>
      </c>
      <c r="F80" s="8" t="n"/>
      <c r="G80" s="9" t="n"/>
      <c r="H80" s="9" t="n"/>
      <c r="I80" s="9" t="n"/>
      <c r="J80" s="6" t="n"/>
      <c r="K80" s="10">
        <f>IF(OR($C80="",$D80=""),"",$D80*$E80-N($F80))</f>
        <v/>
      </c>
      <c r="L80" s="11">
        <f>IF(OR($C80="",$D80=""),"",$D80*IFERROR(VLOOKUP($C80,'4. Produtos'!$A$6:$E$25,2,FALSE),0))</f>
        <v/>
      </c>
      <c r="M80" s="10">
        <f>IF(OR($C80="",$D80=""),"",$K80-$L80)</f>
        <v/>
      </c>
      <c r="N80" s="12">
        <f>IF($A80="","",EOMONTH($A80,0))</f>
        <v/>
      </c>
    </row>
    <row r="81">
      <c r="A81" s="5" t="n"/>
      <c r="B81" s="6" t="n"/>
      <c r="C81" s="6" t="n"/>
      <c r="D81" s="7" t="n"/>
      <c r="E81" s="8">
        <f>IF($C81="","",IFERROR(VLOOKUP($C81,'4. Produtos'!$A$6:$E$25,3,FALSE),0))</f>
        <v/>
      </c>
      <c r="F81" s="8" t="n"/>
      <c r="G81" s="9" t="n"/>
      <c r="H81" s="9" t="n"/>
      <c r="I81" s="9" t="n"/>
      <c r="J81" s="6" t="n"/>
      <c r="K81" s="10">
        <f>IF(OR($C81="",$D81=""),"",$D81*$E81-N($F81))</f>
        <v/>
      </c>
      <c r="L81" s="11">
        <f>IF(OR($C81="",$D81=""),"",$D81*IFERROR(VLOOKUP($C81,'4. Produtos'!$A$6:$E$25,2,FALSE),0))</f>
        <v/>
      </c>
      <c r="M81" s="10">
        <f>IF(OR($C81="",$D81=""),"",$K81-$L81)</f>
        <v/>
      </c>
      <c r="N81" s="12">
        <f>IF($A81="","",EOMONTH($A81,0))</f>
        <v/>
      </c>
    </row>
    <row r="82">
      <c r="A82" s="5" t="n"/>
      <c r="B82" s="6" t="n"/>
      <c r="C82" s="6" t="n"/>
      <c r="D82" s="7" t="n"/>
      <c r="E82" s="8">
        <f>IF($C82="","",IFERROR(VLOOKUP($C82,'4. Produtos'!$A$6:$E$25,3,FALSE),0))</f>
        <v/>
      </c>
      <c r="F82" s="8" t="n"/>
      <c r="G82" s="9" t="n"/>
      <c r="H82" s="9" t="n"/>
      <c r="I82" s="9" t="n"/>
      <c r="J82" s="6" t="n"/>
      <c r="K82" s="10">
        <f>IF(OR($C82="",$D82=""),"",$D82*$E82-N($F82))</f>
        <v/>
      </c>
      <c r="L82" s="11">
        <f>IF(OR($C82="",$D82=""),"",$D82*IFERROR(VLOOKUP($C82,'4. Produtos'!$A$6:$E$25,2,FALSE),0))</f>
        <v/>
      </c>
      <c r="M82" s="10">
        <f>IF(OR($C82="",$D82=""),"",$K82-$L82)</f>
        <v/>
      </c>
      <c r="N82" s="12">
        <f>IF($A82="","",EOMONTH($A82,0))</f>
        <v/>
      </c>
    </row>
    <row r="83">
      <c r="A83" s="5" t="n"/>
      <c r="B83" s="6" t="n"/>
      <c r="C83" s="6" t="n"/>
      <c r="D83" s="7" t="n"/>
      <c r="E83" s="8">
        <f>IF($C83="","",IFERROR(VLOOKUP($C83,'4. Produtos'!$A$6:$E$25,3,FALSE),0))</f>
        <v/>
      </c>
      <c r="F83" s="8" t="n"/>
      <c r="G83" s="9" t="n"/>
      <c r="H83" s="9" t="n"/>
      <c r="I83" s="9" t="n"/>
      <c r="J83" s="6" t="n"/>
      <c r="K83" s="10">
        <f>IF(OR($C83="",$D83=""),"",$D83*$E83-N($F83))</f>
        <v/>
      </c>
      <c r="L83" s="11">
        <f>IF(OR($C83="",$D83=""),"",$D83*IFERROR(VLOOKUP($C83,'4. Produtos'!$A$6:$E$25,2,FALSE),0))</f>
        <v/>
      </c>
      <c r="M83" s="10">
        <f>IF(OR($C83="",$D83=""),"",$K83-$L83)</f>
        <v/>
      </c>
      <c r="N83" s="12">
        <f>IF($A83="","",EOMONTH($A83,0))</f>
        <v/>
      </c>
    </row>
    <row r="84">
      <c r="A84" s="5" t="n"/>
      <c r="B84" s="6" t="n"/>
      <c r="C84" s="6" t="n"/>
      <c r="D84" s="7" t="n"/>
      <c r="E84" s="8">
        <f>IF($C84="","",IFERROR(VLOOKUP($C84,'4. Produtos'!$A$6:$E$25,3,FALSE),0))</f>
        <v/>
      </c>
      <c r="F84" s="8" t="n"/>
      <c r="G84" s="9" t="n"/>
      <c r="H84" s="9" t="n"/>
      <c r="I84" s="9" t="n"/>
      <c r="J84" s="6" t="n"/>
      <c r="K84" s="10">
        <f>IF(OR($C84="",$D84=""),"",$D84*$E84-N($F84))</f>
        <v/>
      </c>
      <c r="L84" s="11">
        <f>IF(OR($C84="",$D84=""),"",$D84*IFERROR(VLOOKUP($C84,'4. Produtos'!$A$6:$E$25,2,FALSE),0))</f>
        <v/>
      </c>
      <c r="M84" s="10">
        <f>IF(OR($C84="",$D84=""),"",$K84-$L84)</f>
        <v/>
      </c>
      <c r="N84" s="12">
        <f>IF($A84="","",EOMONTH($A84,0))</f>
        <v/>
      </c>
    </row>
    <row r="85">
      <c r="A85" s="5" t="n"/>
      <c r="B85" s="6" t="n"/>
      <c r="C85" s="6" t="n"/>
      <c r="D85" s="7" t="n"/>
      <c r="E85" s="8">
        <f>IF($C85="","",IFERROR(VLOOKUP($C85,'4. Produtos'!$A$6:$E$25,3,FALSE),0))</f>
        <v/>
      </c>
      <c r="F85" s="8" t="n"/>
      <c r="G85" s="9" t="n"/>
      <c r="H85" s="9" t="n"/>
      <c r="I85" s="9" t="n"/>
      <c r="J85" s="6" t="n"/>
      <c r="K85" s="10">
        <f>IF(OR($C85="",$D85=""),"",$D85*$E85-N($F85))</f>
        <v/>
      </c>
      <c r="L85" s="11">
        <f>IF(OR($C85="",$D85=""),"",$D85*IFERROR(VLOOKUP($C85,'4. Produtos'!$A$6:$E$25,2,FALSE),0))</f>
        <v/>
      </c>
      <c r="M85" s="10">
        <f>IF(OR($C85="",$D85=""),"",$K85-$L85)</f>
        <v/>
      </c>
      <c r="N85" s="12">
        <f>IF($A85="","",EOMONTH($A85,0))</f>
        <v/>
      </c>
    </row>
    <row r="86">
      <c r="A86" s="5" t="n"/>
      <c r="B86" s="6" t="n"/>
      <c r="C86" s="6" t="n"/>
      <c r="D86" s="7" t="n"/>
      <c r="E86" s="8">
        <f>IF($C86="","",IFERROR(VLOOKUP($C86,'4. Produtos'!$A$6:$E$25,3,FALSE),0))</f>
        <v/>
      </c>
      <c r="F86" s="8" t="n"/>
      <c r="G86" s="9" t="n"/>
      <c r="H86" s="9" t="n"/>
      <c r="I86" s="9" t="n"/>
      <c r="J86" s="6" t="n"/>
      <c r="K86" s="10">
        <f>IF(OR($C86="",$D86=""),"",$D86*$E86-N($F86))</f>
        <v/>
      </c>
      <c r="L86" s="11">
        <f>IF(OR($C86="",$D86=""),"",$D86*IFERROR(VLOOKUP($C86,'4. Produtos'!$A$6:$E$25,2,FALSE),0))</f>
        <v/>
      </c>
      <c r="M86" s="10">
        <f>IF(OR($C86="",$D86=""),"",$K86-$L86)</f>
        <v/>
      </c>
      <c r="N86" s="12">
        <f>IF($A86="","",EOMONTH($A86,0))</f>
        <v/>
      </c>
    </row>
    <row r="87">
      <c r="A87" s="5" t="n"/>
      <c r="B87" s="6" t="n"/>
      <c r="C87" s="6" t="n"/>
      <c r="D87" s="7" t="n"/>
      <c r="E87" s="8">
        <f>IF($C87="","",IFERROR(VLOOKUP($C87,'4. Produtos'!$A$6:$E$25,3,FALSE),0))</f>
        <v/>
      </c>
      <c r="F87" s="8" t="n"/>
      <c r="G87" s="9" t="n"/>
      <c r="H87" s="9" t="n"/>
      <c r="I87" s="9" t="n"/>
      <c r="J87" s="6" t="n"/>
      <c r="K87" s="10">
        <f>IF(OR($C87="",$D87=""),"",$D87*$E87-N($F87))</f>
        <v/>
      </c>
      <c r="L87" s="11">
        <f>IF(OR($C87="",$D87=""),"",$D87*IFERROR(VLOOKUP($C87,'4. Produtos'!$A$6:$E$25,2,FALSE),0))</f>
        <v/>
      </c>
      <c r="M87" s="10">
        <f>IF(OR($C87="",$D87=""),"",$K87-$L87)</f>
        <v/>
      </c>
      <c r="N87" s="12">
        <f>IF($A87="","",EOMONTH($A87,0))</f>
        <v/>
      </c>
    </row>
    <row r="88">
      <c r="A88" s="5" t="n"/>
      <c r="B88" s="6" t="n"/>
      <c r="C88" s="6" t="n"/>
      <c r="D88" s="7" t="n"/>
      <c r="E88" s="8">
        <f>IF($C88="","",IFERROR(VLOOKUP($C88,'4. Produtos'!$A$6:$E$25,3,FALSE),0))</f>
        <v/>
      </c>
      <c r="F88" s="8" t="n"/>
      <c r="G88" s="9" t="n"/>
      <c r="H88" s="9" t="n"/>
      <c r="I88" s="9" t="n"/>
      <c r="J88" s="6" t="n"/>
      <c r="K88" s="10">
        <f>IF(OR($C88="",$D88=""),"",$D88*$E88-N($F88))</f>
        <v/>
      </c>
      <c r="L88" s="11">
        <f>IF(OR($C88="",$D88=""),"",$D88*IFERROR(VLOOKUP($C88,'4. Produtos'!$A$6:$E$25,2,FALSE),0))</f>
        <v/>
      </c>
      <c r="M88" s="10">
        <f>IF(OR($C88="",$D88=""),"",$K88-$L88)</f>
        <v/>
      </c>
      <c r="N88" s="12">
        <f>IF($A88="","",EOMONTH($A88,0))</f>
        <v/>
      </c>
    </row>
    <row r="89">
      <c r="A89" s="5" t="n"/>
      <c r="B89" s="6" t="n"/>
      <c r="C89" s="6" t="n"/>
      <c r="D89" s="7" t="n"/>
      <c r="E89" s="8">
        <f>IF($C89="","",IFERROR(VLOOKUP($C89,'4. Produtos'!$A$6:$E$25,3,FALSE),0))</f>
        <v/>
      </c>
      <c r="F89" s="8" t="n"/>
      <c r="G89" s="9" t="n"/>
      <c r="H89" s="9" t="n"/>
      <c r="I89" s="9" t="n"/>
      <c r="J89" s="6" t="n"/>
      <c r="K89" s="10">
        <f>IF(OR($C89="",$D89=""),"",$D89*$E89-N($F89))</f>
        <v/>
      </c>
      <c r="L89" s="11">
        <f>IF(OR($C89="",$D89=""),"",$D89*IFERROR(VLOOKUP($C89,'4. Produtos'!$A$6:$E$25,2,FALSE),0))</f>
        <v/>
      </c>
      <c r="M89" s="10">
        <f>IF(OR($C89="",$D89=""),"",$K89-$L89)</f>
        <v/>
      </c>
      <c r="N89" s="12">
        <f>IF($A89="","",EOMONTH($A89,0))</f>
        <v/>
      </c>
    </row>
    <row r="90">
      <c r="A90" s="5" t="n"/>
      <c r="B90" s="6" t="n"/>
      <c r="C90" s="6" t="n"/>
      <c r="D90" s="7" t="n"/>
      <c r="E90" s="8">
        <f>IF($C90="","",IFERROR(VLOOKUP($C90,'4. Produtos'!$A$6:$E$25,3,FALSE),0))</f>
        <v/>
      </c>
      <c r="F90" s="8" t="n"/>
      <c r="G90" s="9" t="n"/>
      <c r="H90" s="9" t="n"/>
      <c r="I90" s="9" t="n"/>
      <c r="J90" s="6" t="n"/>
      <c r="K90" s="10">
        <f>IF(OR($C90="",$D90=""),"",$D90*$E90-N($F90))</f>
        <v/>
      </c>
      <c r="L90" s="11">
        <f>IF(OR($C90="",$D90=""),"",$D90*IFERROR(VLOOKUP($C90,'4. Produtos'!$A$6:$E$25,2,FALSE),0))</f>
        <v/>
      </c>
      <c r="M90" s="10">
        <f>IF(OR($C90="",$D90=""),"",$K90-$L90)</f>
        <v/>
      </c>
      <c r="N90" s="12">
        <f>IF($A90="","",EOMONTH($A90,0))</f>
        <v/>
      </c>
    </row>
    <row r="91">
      <c r="A91" s="5" t="n"/>
      <c r="B91" s="6" t="n"/>
      <c r="C91" s="6" t="n"/>
      <c r="D91" s="7" t="n"/>
      <c r="E91" s="8">
        <f>IF($C91="","",IFERROR(VLOOKUP($C91,'4. Produtos'!$A$6:$E$25,3,FALSE),0))</f>
        <v/>
      </c>
      <c r="F91" s="8" t="n"/>
      <c r="G91" s="9" t="n"/>
      <c r="H91" s="9" t="n"/>
      <c r="I91" s="9" t="n"/>
      <c r="J91" s="6" t="n"/>
      <c r="K91" s="10">
        <f>IF(OR($C91="",$D91=""),"",$D91*$E91-N($F91))</f>
        <v/>
      </c>
      <c r="L91" s="11">
        <f>IF(OR($C91="",$D91=""),"",$D91*IFERROR(VLOOKUP($C91,'4. Produtos'!$A$6:$E$25,2,FALSE),0))</f>
        <v/>
      </c>
      <c r="M91" s="10">
        <f>IF(OR($C91="",$D91=""),"",$K91-$L91)</f>
        <v/>
      </c>
      <c r="N91" s="12">
        <f>IF($A91="","",EOMONTH($A91,0))</f>
        <v/>
      </c>
    </row>
    <row r="92">
      <c r="A92" s="5" t="n"/>
      <c r="B92" s="6" t="n"/>
      <c r="C92" s="6" t="n"/>
      <c r="D92" s="7" t="n"/>
      <c r="E92" s="8">
        <f>IF($C92="","",IFERROR(VLOOKUP($C92,'4. Produtos'!$A$6:$E$25,3,FALSE),0))</f>
        <v/>
      </c>
      <c r="F92" s="8" t="n"/>
      <c r="G92" s="9" t="n"/>
      <c r="H92" s="9" t="n"/>
      <c r="I92" s="9" t="n"/>
      <c r="J92" s="6" t="n"/>
      <c r="K92" s="10">
        <f>IF(OR($C92="",$D92=""),"",$D92*$E92-N($F92))</f>
        <v/>
      </c>
      <c r="L92" s="11">
        <f>IF(OR($C92="",$D92=""),"",$D92*IFERROR(VLOOKUP($C92,'4. Produtos'!$A$6:$E$25,2,FALSE),0))</f>
        <v/>
      </c>
      <c r="M92" s="10">
        <f>IF(OR($C92="",$D92=""),"",$K92-$L92)</f>
        <v/>
      </c>
      <c r="N92" s="12">
        <f>IF($A92="","",EOMONTH($A92,0))</f>
        <v/>
      </c>
    </row>
    <row r="93">
      <c r="A93" s="5" t="n"/>
      <c r="B93" s="6" t="n"/>
      <c r="C93" s="6" t="n"/>
      <c r="D93" s="7" t="n"/>
      <c r="E93" s="8">
        <f>IF($C93="","",IFERROR(VLOOKUP($C93,'4. Produtos'!$A$6:$E$25,3,FALSE),0))</f>
        <v/>
      </c>
      <c r="F93" s="8" t="n"/>
      <c r="G93" s="9" t="n"/>
      <c r="H93" s="9" t="n"/>
      <c r="I93" s="9" t="n"/>
      <c r="J93" s="6" t="n"/>
      <c r="K93" s="10">
        <f>IF(OR($C93="",$D93=""),"",$D93*$E93-N($F93))</f>
        <v/>
      </c>
      <c r="L93" s="11">
        <f>IF(OR($C93="",$D93=""),"",$D93*IFERROR(VLOOKUP($C93,'4. Produtos'!$A$6:$E$25,2,FALSE),0))</f>
        <v/>
      </c>
      <c r="M93" s="10">
        <f>IF(OR($C93="",$D93=""),"",$K93-$L93)</f>
        <v/>
      </c>
      <c r="N93" s="12">
        <f>IF($A93="","",EOMONTH($A93,0))</f>
        <v/>
      </c>
    </row>
    <row r="94">
      <c r="A94" s="5" t="n"/>
      <c r="B94" s="6" t="n"/>
      <c r="C94" s="6" t="n"/>
      <c r="D94" s="7" t="n"/>
      <c r="E94" s="8">
        <f>IF($C94="","",IFERROR(VLOOKUP($C94,'4. Produtos'!$A$6:$E$25,3,FALSE),0))</f>
        <v/>
      </c>
      <c r="F94" s="8" t="n"/>
      <c r="G94" s="9" t="n"/>
      <c r="H94" s="9" t="n"/>
      <c r="I94" s="9" t="n"/>
      <c r="J94" s="6" t="n"/>
      <c r="K94" s="10">
        <f>IF(OR($C94="",$D94=""),"",$D94*$E94-N($F94))</f>
        <v/>
      </c>
      <c r="L94" s="11">
        <f>IF(OR($C94="",$D94=""),"",$D94*IFERROR(VLOOKUP($C94,'4. Produtos'!$A$6:$E$25,2,FALSE),0))</f>
        <v/>
      </c>
      <c r="M94" s="10">
        <f>IF(OR($C94="",$D94=""),"",$K94-$L94)</f>
        <v/>
      </c>
      <c r="N94" s="12">
        <f>IF($A94="","",EOMONTH($A94,0))</f>
        <v/>
      </c>
    </row>
    <row r="95">
      <c r="A95" s="5" t="n"/>
      <c r="B95" s="6" t="n"/>
      <c r="C95" s="6" t="n"/>
      <c r="D95" s="7" t="n"/>
      <c r="E95" s="8">
        <f>IF($C95="","",IFERROR(VLOOKUP($C95,'4. Produtos'!$A$6:$E$25,3,FALSE),0))</f>
        <v/>
      </c>
      <c r="F95" s="8" t="n"/>
      <c r="G95" s="9" t="n"/>
      <c r="H95" s="9" t="n"/>
      <c r="I95" s="9" t="n"/>
      <c r="J95" s="6" t="n"/>
      <c r="K95" s="10">
        <f>IF(OR($C95="",$D95=""),"",$D95*$E95-N($F95))</f>
        <v/>
      </c>
      <c r="L95" s="11">
        <f>IF(OR($C95="",$D95=""),"",$D95*IFERROR(VLOOKUP($C95,'4. Produtos'!$A$6:$E$25,2,FALSE),0))</f>
        <v/>
      </c>
      <c r="M95" s="10">
        <f>IF(OR($C95="",$D95=""),"",$K95-$L95)</f>
        <v/>
      </c>
      <c r="N95" s="12">
        <f>IF($A95="","",EOMONTH($A95,0))</f>
        <v/>
      </c>
    </row>
    <row r="96">
      <c r="A96" s="5" t="n"/>
      <c r="B96" s="6" t="n"/>
      <c r="C96" s="6" t="n"/>
      <c r="D96" s="7" t="n"/>
      <c r="E96" s="8">
        <f>IF($C96="","",IFERROR(VLOOKUP($C96,'4. Produtos'!$A$6:$E$25,3,FALSE),0))</f>
        <v/>
      </c>
      <c r="F96" s="8" t="n"/>
      <c r="G96" s="9" t="n"/>
      <c r="H96" s="9" t="n"/>
      <c r="I96" s="9" t="n"/>
      <c r="J96" s="6" t="n"/>
      <c r="K96" s="10">
        <f>IF(OR($C96="",$D96=""),"",$D96*$E96-N($F96))</f>
        <v/>
      </c>
      <c r="L96" s="11">
        <f>IF(OR($C96="",$D96=""),"",$D96*IFERROR(VLOOKUP($C96,'4. Produtos'!$A$6:$E$25,2,FALSE),0))</f>
        <v/>
      </c>
      <c r="M96" s="10">
        <f>IF(OR($C96="",$D96=""),"",$K96-$L96)</f>
        <v/>
      </c>
      <c r="N96" s="12">
        <f>IF($A96="","",EOMONTH($A96,0))</f>
        <v/>
      </c>
    </row>
    <row r="97">
      <c r="A97" s="5" t="n"/>
      <c r="B97" s="6" t="n"/>
      <c r="C97" s="6" t="n"/>
      <c r="D97" s="7" t="n"/>
      <c r="E97" s="8">
        <f>IF($C97="","",IFERROR(VLOOKUP($C97,'4. Produtos'!$A$6:$E$25,3,FALSE),0))</f>
        <v/>
      </c>
      <c r="F97" s="8" t="n"/>
      <c r="G97" s="9" t="n"/>
      <c r="H97" s="9" t="n"/>
      <c r="I97" s="9" t="n"/>
      <c r="J97" s="6" t="n"/>
      <c r="K97" s="10">
        <f>IF(OR($C97="",$D97=""),"",$D97*$E97-N($F97))</f>
        <v/>
      </c>
      <c r="L97" s="11">
        <f>IF(OR($C97="",$D97=""),"",$D97*IFERROR(VLOOKUP($C97,'4. Produtos'!$A$6:$E$25,2,FALSE),0))</f>
        <v/>
      </c>
      <c r="M97" s="10">
        <f>IF(OR($C97="",$D97=""),"",$K97-$L97)</f>
        <v/>
      </c>
      <c r="N97" s="12">
        <f>IF($A97="","",EOMONTH($A97,0))</f>
        <v/>
      </c>
    </row>
    <row r="98">
      <c r="A98" s="5" t="n"/>
      <c r="B98" s="6" t="n"/>
      <c r="C98" s="6" t="n"/>
      <c r="D98" s="7" t="n"/>
      <c r="E98" s="8">
        <f>IF($C98="","",IFERROR(VLOOKUP($C98,'4. Produtos'!$A$6:$E$25,3,FALSE),0))</f>
        <v/>
      </c>
      <c r="F98" s="8" t="n"/>
      <c r="G98" s="9" t="n"/>
      <c r="H98" s="9" t="n"/>
      <c r="I98" s="9" t="n"/>
      <c r="J98" s="6" t="n"/>
      <c r="K98" s="10">
        <f>IF(OR($C98="",$D98=""),"",$D98*$E98-N($F98))</f>
        <v/>
      </c>
      <c r="L98" s="11">
        <f>IF(OR($C98="",$D98=""),"",$D98*IFERROR(VLOOKUP($C98,'4. Produtos'!$A$6:$E$25,2,FALSE),0))</f>
        <v/>
      </c>
      <c r="M98" s="10">
        <f>IF(OR($C98="",$D98=""),"",$K98-$L98)</f>
        <v/>
      </c>
      <c r="N98" s="12">
        <f>IF($A98="","",EOMONTH($A98,0))</f>
        <v/>
      </c>
    </row>
    <row r="99">
      <c r="A99" s="5" t="n"/>
      <c r="B99" s="6" t="n"/>
      <c r="C99" s="6" t="n"/>
      <c r="D99" s="7" t="n"/>
      <c r="E99" s="8">
        <f>IF($C99="","",IFERROR(VLOOKUP($C99,'4. Produtos'!$A$6:$E$25,3,FALSE),0))</f>
        <v/>
      </c>
      <c r="F99" s="8" t="n"/>
      <c r="G99" s="9" t="n"/>
      <c r="H99" s="9" t="n"/>
      <c r="I99" s="9" t="n"/>
      <c r="J99" s="6" t="n"/>
      <c r="K99" s="10">
        <f>IF(OR($C99="",$D99=""),"",$D99*$E99-N($F99))</f>
        <v/>
      </c>
      <c r="L99" s="11">
        <f>IF(OR($C99="",$D99=""),"",$D99*IFERROR(VLOOKUP($C99,'4. Produtos'!$A$6:$E$25,2,FALSE),0))</f>
        <v/>
      </c>
      <c r="M99" s="10">
        <f>IF(OR($C99="",$D99=""),"",$K99-$L99)</f>
        <v/>
      </c>
      <c r="N99" s="12">
        <f>IF($A99="","",EOMONTH($A99,0))</f>
        <v/>
      </c>
    </row>
    <row r="100">
      <c r="A100" s="5" t="n"/>
      <c r="B100" s="6" t="n"/>
      <c r="C100" s="6" t="n"/>
      <c r="D100" s="7" t="n"/>
      <c r="E100" s="8">
        <f>IF($C100="","",IFERROR(VLOOKUP($C100,'4. Produtos'!$A$6:$E$25,3,FALSE),0))</f>
        <v/>
      </c>
      <c r="F100" s="8" t="n"/>
      <c r="G100" s="9" t="n"/>
      <c r="H100" s="9" t="n"/>
      <c r="I100" s="9" t="n"/>
      <c r="J100" s="6" t="n"/>
      <c r="K100" s="10">
        <f>IF(OR($C100="",$D100=""),"",$D100*$E100-N($F100))</f>
        <v/>
      </c>
      <c r="L100" s="11">
        <f>IF(OR($C100="",$D100=""),"",$D100*IFERROR(VLOOKUP($C100,'4. Produtos'!$A$6:$E$25,2,FALSE),0))</f>
        <v/>
      </c>
      <c r="M100" s="10">
        <f>IF(OR($C100="",$D100=""),"",$K100-$L100)</f>
        <v/>
      </c>
      <c r="N100" s="12">
        <f>IF($A100="","",EOMONTH($A100,0))</f>
        <v/>
      </c>
    </row>
    <row r="101">
      <c r="A101" s="5" t="n"/>
      <c r="B101" s="6" t="n"/>
      <c r="C101" s="6" t="n"/>
      <c r="D101" s="7" t="n"/>
      <c r="E101" s="8">
        <f>IF($C101="","",IFERROR(VLOOKUP($C101,'4. Produtos'!$A$6:$E$25,3,FALSE),0))</f>
        <v/>
      </c>
      <c r="F101" s="8" t="n"/>
      <c r="G101" s="9" t="n"/>
      <c r="H101" s="9" t="n"/>
      <c r="I101" s="9" t="n"/>
      <c r="J101" s="6" t="n"/>
      <c r="K101" s="10">
        <f>IF(OR($C101="",$D101=""),"",$D101*$E101-N($F101))</f>
        <v/>
      </c>
      <c r="L101" s="11">
        <f>IF(OR($C101="",$D101=""),"",$D101*IFERROR(VLOOKUP($C101,'4. Produtos'!$A$6:$E$25,2,FALSE),0))</f>
        <v/>
      </c>
      <c r="M101" s="10">
        <f>IF(OR($C101="",$D101=""),"",$K101-$L101)</f>
        <v/>
      </c>
      <c r="N101" s="12">
        <f>IF($A101="","",EOMONTH($A101,0))</f>
        <v/>
      </c>
    </row>
    <row r="102">
      <c r="A102" s="5" t="n"/>
      <c r="B102" s="6" t="n"/>
      <c r="C102" s="6" t="n"/>
      <c r="D102" s="7" t="n"/>
      <c r="E102" s="8">
        <f>IF($C102="","",IFERROR(VLOOKUP($C102,'4. Produtos'!$A$6:$E$25,3,FALSE),0))</f>
        <v/>
      </c>
      <c r="F102" s="8" t="n"/>
      <c r="G102" s="9" t="n"/>
      <c r="H102" s="9" t="n"/>
      <c r="I102" s="9" t="n"/>
      <c r="J102" s="6" t="n"/>
      <c r="K102" s="10">
        <f>IF(OR($C102="",$D102=""),"",$D102*$E102-N($F102))</f>
        <v/>
      </c>
      <c r="L102" s="11">
        <f>IF(OR($C102="",$D102=""),"",$D102*IFERROR(VLOOKUP($C102,'4. Produtos'!$A$6:$E$25,2,FALSE),0))</f>
        <v/>
      </c>
      <c r="M102" s="10">
        <f>IF(OR($C102="",$D102=""),"",$K102-$L102)</f>
        <v/>
      </c>
      <c r="N102" s="12">
        <f>IF($A102="","",EOMONTH($A102,0))</f>
        <v/>
      </c>
    </row>
    <row r="103">
      <c r="A103" s="5" t="n"/>
      <c r="B103" s="6" t="n"/>
      <c r="C103" s="6" t="n"/>
      <c r="D103" s="7" t="n"/>
      <c r="E103" s="8">
        <f>IF($C103="","",IFERROR(VLOOKUP($C103,'4. Produtos'!$A$6:$E$25,3,FALSE),0))</f>
        <v/>
      </c>
      <c r="F103" s="8" t="n"/>
      <c r="G103" s="9" t="n"/>
      <c r="H103" s="9" t="n"/>
      <c r="I103" s="9" t="n"/>
      <c r="J103" s="6" t="n"/>
      <c r="K103" s="10">
        <f>IF(OR($C103="",$D103=""),"",$D103*$E103-N($F103))</f>
        <v/>
      </c>
      <c r="L103" s="11">
        <f>IF(OR($C103="",$D103=""),"",$D103*IFERROR(VLOOKUP($C103,'4. Produtos'!$A$6:$E$25,2,FALSE),0))</f>
        <v/>
      </c>
      <c r="M103" s="10">
        <f>IF(OR($C103="",$D103=""),"",$K103-$L103)</f>
        <v/>
      </c>
      <c r="N103" s="12">
        <f>IF($A103="","",EOMONTH($A103,0))</f>
        <v/>
      </c>
    </row>
    <row r="104">
      <c r="A104" s="5" t="n"/>
      <c r="B104" s="6" t="n"/>
      <c r="C104" s="6" t="n"/>
      <c r="D104" s="7" t="n"/>
      <c r="E104" s="8">
        <f>IF($C104="","",IFERROR(VLOOKUP($C104,'4. Produtos'!$A$6:$E$25,3,FALSE),0))</f>
        <v/>
      </c>
      <c r="F104" s="8" t="n"/>
      <c r="G104" s="9" t="n"/>
      <c r="H104" s="9" t="n"/>
      <c r="I104" s="9" t="n"/>
      <c r="J104" s="6" t="n"/>
      <c r="K104" s="10">
        <f>IF(OR($C104="",$D104=""),"",$D104*$E104-N($F104))</f>
        <v/>
      </c>
      <c r="L104" s="11">
        <f>IF(OR($C104="",$D104=""),"",$D104*IFERROR(VLOOKUP($C104,'4. Produtos'!$A$6:$E$25,2,FALSE),0))</f>
        <v/>
      </c>
      <c r="M104" s="10">
        <f>IF(OR($C104="",$D104=""),"",$K104-$L104)</f>
        <v/>
      </c>
      <c r="N104" s="12">
        <f>IF($A104="","",EOMONTH($A104,0))</f>
        <v/>
      </c>
    </row>
    <row r="105">
      <c r="A105" s="5" t="n"/>
      <c r="B105" s="6" t="n"/>
      <c r="C105" s="6" t="n"/>
      <c r="D105" s="7" t="n"/>
      <c r="E105" s="8">
        <f>IF($C105="","",IFERROR(VLOOKUP($C105,'4. Produtos'!$A$6:$E$25,3,FALSE),0))</f>
        <v/>
      </c>
      <c r="F105" s="8" t="n"/>
      <c r="G105" s="9" t="n"/>
      <c r="H105" s="9" t="n"/>
      <c r="I105" s="9" t="n"/>
      <c r="J105" s="6" t="n"/>
      <c r="K105" s="10">
        <f>IF(OR($C105="",$D105=""),"",$D105*$E105-N($F105))</f>
        <v/>
      </c>
      <c r="L105" s="11">
        <f>IF(OR($C105="",$D105=""),"",$D105*IFERROR(VLOOKUP($C105,'4. Produtos'!$A$6:$E$25,2,FALSE),0))</f>
        <v/>
      </c>
      <c r="M105" s="10">
        <f>IF(OR($C105="",$D105=""),"",$K105-$L105)</f>
        <v/>
      </c>
      <c r="N105" s="12">
        <f>IF($A105="","",EOMONTH($A105,0))</f>
        <v/>
      </c>
    </row>
    <row r="106">
      <c r="A106" s="5" t="n"/>
      <c r="B106" s="6" t="n"/>
      <c r="C106" s="6" t="n"/>
      <c r="D106" s="7" t="n"/>
      <c r="E106" s="8">
        <f>IF($C106="","",IFERROR(VLOOKUP($C106,'4. Produtos'!$A$6:$E$25,3,FALSE),0))</f>
        <v/>
      </c>
      <c r="F106" s="8" t="n"/>
      <c r="G106" s="9" t="n"/>
      <c r="H106" s="9" t="n"/>
      <c r="I106" s="9" t="n"/>
      <c r="J106" s="6" t="n"/>
      <c r="K106" s="10">
        <f>IF(OR($C106="",$D106=""),"",$D106*$E106-N($F106))</f>
        <v/>
      </c>
      <c r="L106" s="11">
        <f>IF(OR($C106="",$D106=""),"",$D106*IFERROR(VLOOKUP($C106,'4. Produtos'!$A$6:$E$25,2,FALSE),0))</f>
        <v/>
      </c>
      <c r="M106" s="10">
        <f>IF(OR($C106="",$D106=""),"",$K106-$L106)</f>
        <v/>
      </c>
      <c r="N106" s="12">
        <f>IF($A106="","",EOMONTH($A106,0))</f>
        <v/>
      </c>
    </row>
    <row r="107">
      <c r="A107" s="5" t="n"/>
      <c r="B107" s="6" t="n"/>
      <c r="C107" s="6" t="n"/>
      <c r="D107" s="7" t="n"/>
      <c r="E107" s="8">
        <f>IF($C107="","",IFERROR(VLOOKUP($C107,'4. Produtos'!$A$6:$E$25,3,FALSE),0))</f>
        <v/>
      </c>
      <c r="F107" s="8" t="n"/>
      <c r="G107" s="9" t="n"/>
      <c r="H107" s="9" t="n"/>
      <c r="I107" s="9" t="n"/>
      <c r="J107" s="6" t="n"/>
      <c r="K107" s="10">
        <f>IF(OR($C107="",$D107=""),"",$D107*$E107-N($F107))</f>
        <v/>
      </c>
      <c r="L107" s="11">
        <f>IF(OR($C107="",$D107=""),"",$D107*IFERROR(VLOOKUP($C107,'4. Produtos'!$A$6:$E$25,2,FALSE),0))</f>
        <v/>
      </c>
      <c r="M107" s="10">
        <f>IF(OR($C107="",$D107=""),"",$K107-$L107)</f>
        <v/>
      </c>
      <c r="N107" s="12">
        <f>IF($A107="","",EOMONTH($A107,0))</f>
        <v/>
      </c>
    </row>
    <row r="108">
      <c r="A108" s="5" t="n"/>
      <c r="B108" s="6" t="n"/>
      <c r="C108" s="6" t="n"/>
      <c r="D108" s="7" t="n"/>
      <c r="E108" s="8">
        <f>IF($C108="","",IFERROR(VLOOKUP($C108,'4. Produtos'!$A$6:$E$25,3,FALSE),0))</f>
        <v/>
      </c>
      <c r="F108" s="8" t="n"/>
      <c r="G108" s="9" t="n"/>
      <c r="H108" s="9" t="n"/>
      <c r="I108" s="9" t="n"/>
      <c r="J108" s="6" t="n"/>
      <c r="K108" s="10">
        <f>IF(OR($C108="",$D108=""),"",$D108*$E108-N($F108))</f>
        <v/>
      </c>
      <c r="L108" s="11">
        <f>IF(OR($C108="",$D108=""),"",$D108*IFERROR(VLOOKUP($C108,'4. Produtos'!$A$6:$E$25,2,FALSE),0))</f>
        <v/>
      </c>
      <c r="M108" s="10">
        <f>IF(OR($C108="",$D108=""),"",$K108-$L108)</f>
        <v/>
      </c>
      <c r="N108" s="12">
        <f>IF($A108="","",EOMONTH($A108,0))</f>
        <v/>
      </c>
    </row>
    <row r="109">
      <c r="A109" s="5" t="n"/>
      <c r="B109" s="6" t="n"/>
      <c r="C109" s="6" t="n"/>
      <c r="D109" s="7" t="n"/>
      <c r="E109" s="8">
        <f>IF($C109="","",IFERROR(VLOOKUP($C109,'4. Produtos'!$A$6:$E$25,3,FALSE),0))</f>
        <v/>
      </c>
      <c r="F109" s="8" t="n"/>
      <c r="G109" s="9" t="n"/>
      <c r="H109" s="9" t="n"/>
      <c r="I109" s="9" t="n"/>
      <c r="J109" s="6" t="n"/>
      <c r="K109" s="10">
        <f>IF(OR($C109="",$D109=""),"",$D109*$E109-N($F109))</f>
        <v/>
      </c>
      <c r="L109" s="11">
        <f>IF(OR($C109="",$D109=""),"",$D109*IFERROR(VLOOKUP($C109,'4. Produtos'!$A$6:$E$25,2,FALSE),0))</f>
        <v/>
      </c>
      <c r="M109" s="10">
        <f>IF(OR($C109="",$D109=""),"",$K109-$L109)</f>
        <v/>
      </c>
      <c r="N109" s="12">
        <f>IF($A109="","",EOMONTH($A109,0))</f>
        <v/>
      </c>
    </row>
    <row r="110">
      <c r="A110" s="5" t="n"/>
      <c r="B110" s="6" t="n"/>
      <c r="C110" s="6" t="n"/>
      <c r="D110" s="7" t="n"/>
      <c r="E110" s="8">
        <f>IF($C110="","",IFERROR(VLOOKUP($C110,'4. Produtos'!$A$6:$E$25,3,FALSE),0))</f>
        <v/>
      </c>
      <c r="F110" s="8" t="n"/>
      <c r="G110" s="9" t="n"/>
      <c r="H110" s="9" t="n"/>
      <c r="I110" s="9" t="n"/>
      <c r="J110" s="6" t="n"/>
      <c r="K110" s="10">
        <f>IF(OR($C110="",$D110=""),"",$D110*$E110-N($F110))</f>
        <v/>
      </c>
      <c r="L110" s="11">
        <f>IF(OR($C110="",$D110=""),"",$D110*IFERROR(VLOOKUP($C110,'4. Produtos'!$A$6:$E$25,2,FALSE),0))</f>
        <v/>
      </c>
      <c r="M110" s="10">
        <f>IF(OR($C110="",$D110=""),"",$K110-$L110)</f>
        <v/>
      </c>
      <c r="N110" s="12">
        <f>IF($A110="","",EOMONTH($A110,0))</f>
        <v/>
      </c>
    </row>
    <row r="111">
      <c r="A111" s="5" t="n"/>
      <c r="B111" s="6" t="n"/>
      <c r="C111" s="6" t="n"/>
      <c r="D111" s="7" t="n"/>
      <c r="E111" s="8">
        <f>IF($C111="","",IFERROR(VLOOKUP($C111,'4. Produtos'!$A$6:$E$25,3,FALSE),0))</f>
        <v/>
      </c>
      <c r="F111" s="8" t="n"/>
      <c r="G111" s="9" t="n"/>
      <c r="H111" s="9" t="n"/>
      <c r="I111" s="9" t="n"/>
      <c r="J111" s="6" t="n"/>
      <c r="K111" s="10">
        <f>IF(OR($C111="",$D111=""),"",$D111*$E111-N($F111))</f>
        <v/>
      </c>
      <c r="L111" s="11">
        <f>IF(OR($C111="",$D111=""),"",$D111*IFERROR(VLOOKUP($C111,'4. Produtos'!$A$6:$E$25,2,FALSE),0))</f>
        <v/>
      </c>
      <c r="M111" s="10">
        <f>IF(OR($C111="",$D111=""),"",$K111-$L111)</f>
        <v/>
      </c>
      <c r="N111" s="12">
        <f>IF($A111="","",EOMONTH($A111,0))</f>
        <v/>
      </c>
    </row>
    <row r="112">
      <c r="A112" s="5" t="n"/>
      <c r="B112" s="6" t="n"/>
      <c r="C112" s="6" t="n"/>
      <c r="D112" s="7" t="n"/>
      <c r="E112" s="8">
        <f>IF($C112="","",IFERROR(VLOOKUP($C112,'4. Produtos'!$A$6:$E$25,3,FALSE),0))</f>
        <v/>
      </c>
      <c r="F112" s="8" t="n"/>
      <c r="G112" s="9" t="n"/>
      <c r="H112" s="9" t="n"/>
      <c r="I112" s="9" t="n"/>
      <c r="J112" s="6" t="n"/>
      <c r="K112" s="10">
        <f>IF(OR($C112="",$D112=""),"",$D112*$E112-N($F112))</f>
        <v/>
      </c>
      <c r="L112" s="11">
        <f>IF(OR($C112="",$D112=""),"",$D112*IFERROR(VLOOKUP($C112,'4. Produtos'!$A$6:$E$25,2,FALSE),0))</f>
        <v/>
      </c>
      <c r="M112" s="10">
        <f>IF(OR($C112="",$D112=""),"",$K112-$L112)</f>
        <v/>
      </c>
      <c r="N112" s="12">
        <f>IF($A112="","",EOMONTH($A112,0))</f>
        <v/>
      </c>
    </row>
    <row r="113">
      <c r="A113" s="5" t="n"/>
      <c r="B113" s="6" t="n"/>
      <c r="C113" s="6" t="n"/>
      <c r="D113" s="7" t="n"/>
      <c r="E113" s="8">
        <f>IF($C113="","",IFERROR(VLOOKUP($C113,'4. Produtos'!$A$6:$E$25,3,FALSE),0))</f>
        <v/>
      </c>
      <c r="F113" s="8" t="n"/>
      <c r="G113" s="9" t="n"/>
      <c r="H113" s="9" t="n"/>
      <c r="I113" s="9" t="n"/>
      <c r="J113" s="6" t="n"/>
      <c r="K113" s="10">
        <f>IF(OR($C113="",$D113=""),"",$D113*$E113-N($F113))</f>
        <v/>
      </c>
      <c r="L113" s="11">
        <f>IF(OR($C113="",$D113=""),"",$D113*IFERROR(VLOOKUP($C113,'4. Produtos'!$A$6:$E$25,2,FALSE),0))</f>
        <v/>
      </c>
      <c r="M113" s="10">
        <f>IF(OR($C113="",$D113=""),"",$K113-$L113)</f>
        <v/>
      </c>
      <c r="N113" s="12">
        <f>IF($A113="","",EOMONTH($A113,0))</f>
        <v/>
      </c>
    </row>
    <row r="114">
      <c r="A114" s="5" t="n"/>
      <c r="B114" s="6" t="n"/>
      <c r="C114" s="6" t="n"/>
      <c r="D114" s="7" t="n"/>
      <c r="E114" s="8">
        <f>IF($C114="","",IFERROR(VLOOKUP($C114,'4. Produtos'!$A$6:$E$25,3,FALSE),0))</f>
        <v/>
      </c>
      <c r="F114" s="8" t="n"/>
      <c r="G114" s="9" t="n"/>
      <c r="H114" s="9" t="n"/>
      <c r="I114" s="9" t="n"/>
      <c r="J114" s="6" t="n"/>
      <c r="K114" s="10">
        <f>IF(OR($C114="",$D114=""),"",$D114*$E114-N($F114))</f>
        <v/>
      </c>
      <c r="L114" s="11">
        <f>IF(OR($C114="",$D114=""),"",$D114*IFERROR(VLOOKUP($C114,'4. Produtos'!$A$6:$E$25,2,FALSE),0))</f>
        <v/>
      </c>
      <c r="M114" s="10">
        <f>IF(OR($C114="",$D114=""),"",$K114-$L114)</f>
        <v/>
      </c>
      <c r="N114" s="12">
        <f>IF($A114="","",EOMONTH($A114,0))</f>
        <v/>
      </c>
    </row>
    <row r="115">
      <c r="A115" s="5" t="n"/>
      <c r="B115" s="6" t="n"/>
      <c r="C115" s="6" t="n"/>
      <c r="D115" s="7" t="n"/>
      <c r="E115" s="8">
        <f>IF($C115="","",IFERROR(VLOOKUP($C115,'4. Produtos'!$A$6:$E$25,3,FALSE),0))</f>
        <v/>
      </c>
      <c r="F115" s="8" t="n"/>
      <c r="G115" s="9" t="n"/>
      <c r="H115" s="9" t="n"/>
      <c r="I115" s="9" t="n"/>
      <c r="J115" s="6" t="n"/>
      <c r="K115" s="10">
        <f>IF(OR($C115="",$D115=""),"",$D115*$E115-N($F115))</f>
        <v/>
      </c>
      <c r="L115" s="11">
        <f>IF(OR($C115="",$D115=""),"",$D115*IFERROR(VLOOKUP($C115,'4. Produtos'!$A$6:$E$25,2,FALSE),0))</f>
        <v/>
      </c>
      <c r="M115" s="10">
        <f>IF(OR($C115="",$D115=""),"",$K115-$L115)</f>
        <v/>
      </c>
      <c r="N115" s="12">
        <f>IF($A115="","",EOMONTH($A115,0))</f>
        <v/>
      </c>
    </row>
    <row r="116">
      <c r="A116" s="5" t="n"/>
      <c r="B116" s="6" t="n"/>
      <c r="C116" s="6" t="n"/>
      <c r="D116" s="7" t="n"/>
      <c r="E116" s="8">
        <f>IF($C116="","",IFERROR(VLOOKUP($C116,'4. Produtos'!$A$6:$E$25,3,FALSE),0))</f>
        <v/>
      </c>
      <c r="F116" s="8" t="n"/>
      <c r="G116" s="9" t="n"/>
      <c r="H116" s="9" t="n"/>
      <c r="I116" s="9" t="n"/>
      <c r="J116" s="6" t="n"/>
      <c r="K116" s="10">
        <f>IF(OR($C116="",$D116=""),"",$D116*$E116-N($F116))</f>
        <v/>
      </c>
      <c r="L116" s="11">
        <f>IF(OR($C116="",$D116=""),"",$D116*IFERROR(VLOOKUP($C116,'4. Produtos'!$A$6:$E$25,2,FALSE),0))</f>
        <v/>
      </c>
      <c r="M116" s="10">
        <f>IF(OR($C116="",$D116=""),"",$K116-$L116)</f>
        <v/>
      </c>
      <c r="N116" s="12">
        <f>IF($A116="","",EOMONTH($A116,0))</f>
        <v/>
      </c>
    </row>
    <row r="117">
      <c r="A117" s="5" t="n"/>
      <c r="B117" s="6" t="n"/>
      <c r="C117" s="6" t="n"/>
      <c r="D117" s="7" t="n"/>
      <c r="E117" s="8">
        <f>IF($C117="","",IFERROR(VLOOKUP($C117,'4. Produtos'!$A$6:$E$25,3,FALSE),0))</f>
        <v/>
      </c>
      <c r="F117" s="8" t="n"/>
      <c r="G117" s="9" t="n"/>
      <c r="H117" s="9" t="n"/>
      <c r="I117" s="9" t="n"/>
      <c r="J117" s="6" t="n"/>
      <c r="K117" s="10">
        <f>IF(OR($C117="",$D117=""),"",$D117*$E117-N($F117))</f>
        <v/>
      </c>
      <c r="L117" s="11">
        <f>IF(OR($C117="",$D117=""),"",$D117*IFERROR(VLOOKUP($C117,'4. Produtos'!$A$6:$E$25,2,FALSE),0))</f>
        <v/>
      </c>
      <c r="M117" s="10">
        <f>IF(OR($C117="",$D117=""),"",$K117-$L117)</f>
        <v/>
      </c>
      <c r="N117" s="12">
        <f>IF($A117="","",EOMONTH($A117,0))</f>
        <v/>
      </c>
    </row>
    <row r="118">
      <c r="A118" s="5" t="n"/>
      <c r="B118" s="6" t="n"/>
      <c r="C118" s="6" t="n"/>
      <c r="D118" s="7" t="n"/>
      <c r="E118" s="8">
        <f>IF($C118="","",IFERROR(VLOOKUP($C118,'4. Produtos'!$A$6:$E$25,3,FALSE),0))</f>
        <v/>
      </c>
      <c r="F118" s="8" t="n"/>
      <c r="G118" s="9" t="n"/>
      <c r="H118" s="9" t="n"/>
      <c r="I118" s="9" t="n"/>
      <c r="J118" s="6" t="n"/>
      <c r="K118" s="10">
        <f>IF(OR($C118="",$D118=""),"",$D118*$E118-N($F118))</f>
        <v/>
      </c>
      <c r="L118" s="11">
        <f>IF(OR($C118="",$D118=""),"",$D118*IFERROR(VLOOKUP($C118,'4. Produtos'!$A$6:$E$25,2,FALSE),0))</f>
        <v/>
      </c>
      <c r="M118" s="10">
        <f>IF(OR($C118="",$D118=""),"",$K118-$L118)</f>
        <v/>
      </c>
      <c r="N118" s="12">
        <f>IF($A118="","",EOMONTH($A118,0))</f>
        <v/>
      </c>
    </row>
    <row r="119">
      <c r="A119" s="5" t="n"/>
      <c r="B119" s="6" t="n"/>
      <c r="C119" s="6" t="n"/>
      <c r="D119" s="7" t="n"/>
      <c r="E119" s="8">
        <f>IF($C119="","",IFERROR(VLOOKUP($C119,'4. Produtos'!$A$6:$E$25,3,FALSE),0))</f>
        <v/>
      </c>
      <c r="F119" s="8" t="n"/>
      <c r="G119" s="9" t="n"/>
      <c r="H119" s="9" t="n"/>
      <c r="I119" s="9" t="n"/>
      <c r="J119" s="6" t="n"/>
      <c r="K119" s="10">
        <f>IF(OR($C119="",$D119=""),"",$D119*$E119-N($F119))</f>
        <v/>
      </c>
      <c r="L119" s="11">
        <f>IF(OR($C119="",$D119=""),"",$D119*IFERROR(VLOOKUP($C119,'4. Produtos'!$A$6:$E$25,2,FALSE),0))</f>
        <v/>
      </c>
      <c r="M119" s="10">
        <f>IF(OR($C119="",$D119=""),"",$K119-$L119)</f>
        <v/>
      </c>
      <c r="N119" s="12">
        <f>IF($A119="","",EOMONTH($A119,0))</f>
        <v/>
      </c>
    </row>
    <row r="120">
      <c r="A120" s="5" t="n"/>
      <c r="B120" s="6" t="n"/>
      <c r="C120" s="6" t="n"/>
      <c r="D120" s="7" t="n"/>
      <c r="E120" s="8">
        <f>IF($C120="","",IFERROR(VLOOKUP($C120,'4. Produtos'!$A$6:$E$25,3,FALSE),0))</f>
        <v/>
      </c>
      <c r="F120" s="8" t="n"/>
      <c r="G120" s="9" t="n"/>
      <c r="H120" s="9" t="n"/>
      <c r="I120" s="9" t="n"/>
      <c r="J120" s="6" t="n"/>
      <c r="K120" s="10">
        <f>IF(OR($C120="",$D120=""),"",$D120*$E120-N($F120))</f>
        <v/>
      </c>
      <c r="L120" s="11">
        <f>IF(OR($C120="",$D120=""),"",$D120*IFERROR(VLOOKUP($C120,'4. Produtos'!$A$6:$E$25,2,FALSE),0))</f>
        <v/>
      </c>
      <c r="M120" s="10">
        <f>IF(OR($C120="",$D120=""),"",$K120-$L120)</f>
        <v/>
      </c>
      <c r="N120" s="12">
        <f>IF($A120="","",EOMONTH($A120,0))</f>
        <v/>
      </c>
    </row>
    <row r="121">
      <c r="A121" s="5" t="n"/>
      <c r="B121" s="6" t="n"/>
      <c r="C121" s="6" t="n"/>
      <c r="D121" s="7" t="n"/>
      <c r="E121" s="8">
        <f>IF($C121="","",IFERROR(VLOOKUP($C121,'4. Produtos'!$A$6:$E$25,3,FALSE),0))</f>
        <v/>
      </c>
      <c r="F121" s="8" t="n"/>
      <c r="G121" s="9" t="n"/>
      <c r="H121" s="9" t="n"/>
      <c r="I121" s="9" t="n"/>
      <c r="J121" s="6" t="n"/>
      <c r="K121" s="10">
        <f>IF(OR($C121="",$D121=""),"",$D121*$E121-N($F121))</f>
        <v/>
      </c>
      <c r="L121" s="11">
        <f>IF(OR($C121="",$D121=""),"",$D121*IFERROR(VLOOKUP($C121,'4. Produtos'!$A$6:$E$25,2,FALSE),0))</f>
        <v/>
      </c>
      <c r="M121" s="10">
        <f>IF(OR($C121="",$D121=""),"",$K121-$L121)</f>
        <v/>
      </c>
      <c r="N121" s="12">
        <f>IF($A121="","",EOMONTH($A121,0))</f>
        <v/>
      </c>
    </row>
    <row r="122">
      <c r="A122" s="5" t="n"/>
      <c r="B122" s="6" t="n"/>
      <c r="C122" s="6" t="n"/>
      <c r="D122" s="7" t="n"/>
      <c r="E122" s="8">
        <f>IF($C122="","",IFERROR(VLOOKUP($C122,'4. Produtos'!$A$6:$E$25,3,FALSE),0))</f>
        <v/>
      </c>
      <c r="F122" s="8" t="n"/>
      <c r="G122" s="9" t="n"/>
      <c r="H122" s="9" t="n"/>
      <c r="I122" s="9" t="n"/>
      <c r="J122" s="6" t="n"/>
      <c r="K122" s="10">
        <f>IF(OR($C122="",$D122=""),"",$D122*$E122-N($F122))</f>
        <v/>
      </c>
      <c r="L122" s="11">
        <f>IF(OR($C122="",$D122=""),"",$D122*IFERROR(VLOOKUP($C122,'4. Produtos'!$A$6:$E$25,2,FALSE),0))</f>
        <v/>
      </c>
      <c r="M122" s="10">
        <f>IF(OR($C122="",$D122=""),"",$K122-$L122)</f>
        <v/>
      </c>
      <c r="N122" s="12">
        <f>IF($A122="","",EOMONTH($A122,0))</f>
        <v/>
      </c>
    </row>
    <row r="123">
      <c r="A123" s="5" t="n"/>
      <c r="B123" s="6" t="n"/>
      <c r="C123" s="6" t="n"/>
      <c r="D123" s="7" t="n"/>
      <c r="E123" s="8">
        <f>IF($C123="","",IFERROR(VLOOKUP($C123,'4. Produtos'!$A$6:$E$25,3,FALSE),0))</f>
        <v/>
      </c>
      <c r="F123" s="8" t="n"/>
      <c r="G123" s="9" t="n"/>
      <c r="H123" s="9" t="n"/>
      <c r="I123" s="9" t="n"/>
      <c r="J123" s="6" t="n"/>
      <c r="K123" s="10">
        <f>IF(OR($C123="",$D123=""),"",$D123*$E123-N($F123))</f>
        <v/>
      </c>
      <c r="L123" s="11">
        <f>IF(OR($C123="",$D123=""),"",$D123*IFERROR(VLOOKUP($C123,'4. Produtos'!$A$6:$E$25,2,FALSE),0))</f>
        <v/>
      </c>
      <c r="M123" s="10">
        <f>IF(OR($C123="",$D123=""),"",$K123-$L123)</f>
        <v/>
      </c>
      <c r="N123" s="12">
        <f>IF($A123="","",EOMONTH($A123,0))</f>
        <v/>
      </c>
    </row>
    <row r="124">
      <c r="A124" s="5" t="n"/>
      <c r="B124" s="6" t="n"/>
      <c r="C124" s="6" t="n"/>
      <c r="D124" s="7" t="n"/>
      <c r="E124" s="8">
        <f>IF($C124="","",IFERROR(VLOOKUP($C124,'4. Produtos'!$A$6:$E$25,3,FALSE),0))</f>
        <v/>
      </c>
      <c r="F124" s="8" t="n"/>
      <c r="G124" s="9" t="n"/>
      <c r="H124" s="9" t="n"/>
      <c r="I124" s="9" t="n"/>
      <c r="J124" s="6" t="n"/>
      <c r="K124" s="10">
        <f>IF(OR($C124="",$D124=""),"",$D124*$E124-N($F124))</f>
        <v/>
      </c>
      <c r="L124" s="11">
        <f>IF(OR($C124="",$D124=""),"",$D124*IFERROR(VLOOKUP($C124,'4. Produtos'!$A$6:$E$25,2,FALSE),0))</f>
        <v/>
      </c>
      <c r="M124" s="10">
        <f>IF(OR($C124="",$D124=""),"",$K124-$L124)</f>
        <v/>
      </c>
      <c r="N124" s="12">
        <f>IF($A124="","",EOMONTH($A124,0))</f>
        <v/>
      </c>
    </row>
    <row r="125">
      <c r="A125" s="5" t="n"/>
      <c r="B125" s="6" t="n"/>
      <c r="C125" s="6" t="n"/>
      <c r="D125" s="7" t="n"/>
      <c r="E125" s="8">
        <f>IF($C125="","",IFERROR(VLOOKUP($C125,'4. Produtos'!$A$6:$E$25,3,FALSE),0))</f>
        <v/>
      </c>
      <c r="F125" s="8" t="n"/>
      <c r="G125" s="9" t="n"/>
      <c r="H125" s="9" t="n"/>
      <c r="I125" s="9" t="n"/>
      <c r="J125" s="6" t="n"/>
      <c r="K125" s="10">
        <f>IF(OR($C125="",$D125=""),"",$D125*$E125-N($F125))</f>
        <v/>
      </c>
      <c r="L125" s="11">
        <f>IF(OR($C125="",$D125=""),"",$D125*IFERROR(VLOOKUP($C125,'4. Produtos'!$A$6:$E$25,2,FALSE),0))</f>
        <v/>
      </c>
      <c r="M125" s="10">
        <f>IF(OR($C125="",$D125=""),"",$K125-$L125)</f>
        <v/>
      </c>
      <c r="N125" s="12">
        <f>IF($A125="","",EOMONTH($A125,0))</f>
        <v/>
      </c>
    </row>
    <row r="126">
      <c r="A126" s="5" t="n"/>
      <c r="B126" s="6" t="n"/>
      <c r="C126" s="6" t="n"/>
      <c r="D126" s="7" t="n"/>
      <c r="E126" s="8">
        <f>IF($C126="","",IFERROR(VLOOKUP($C126,'4. Produtos'!$A$6:$E$25,3,FALSE),0))</f>
        <v/>
      </c>
      <c r="F126" s="8" t="n"/>
      <c r="G126" s="9" t="n"/>
      <c r="H126" s="9" t="n"/>
      <c r="I126" s="9" t="n"/>
      <c r="J126" s="6" t="n"/>
      <c r="K126" s="10">
        <f>IF(OR($C126="",$D126=""),"",$D126*$E126-N($F126))</f>
        <v/>
      </c>
      <c r="L126" s="11">
        <f>IF(OR($C126="",$D126=""),"",$D126*IFERROR(VLOOKUP($C126,'4. Produtos'!$A$6:$E$25,2,FALSE),0))</f>
        <v/>
      </c>
      <c r="M126" s="10">
        <f>IF(OR($C126="",$D126=""),"",$K126-$L126)</f>
        <v/>
      </c>
      <c r="N126" s="12">
        <f>IF($A126="","",EOMONTH($A126,0))</f>
        <v/>
      </c>
    </row>
    <row r="127">
      <c r="A127" s="5" t="n"/>
      <c r="B127" s="6" t="n"/>
      <c r="C127" s="6" t="n"/>
      <c r="D127" s="7" t="n"/>
      <c r="E127" s="8">
        <f>IF($C127="","",IFERROR(VLOOKUP($C127,'4. Produtos'!$A$6:$E$25,3,FALSE),0))</f>
        <v/>
      </c>
      <c r="F127" s="8" t="n"/>
      <c r="G127" s="9" t="n"/>
      <c r="H127" s="9" t="n"/>
      <c r="I127" s="9" t="n"/>
      <c r="J127" s="6" t="n"/>
      <c r="K127" s="10">
        <f>IF(OR($C127="",$D127=""),"",$D127*$E127-N($F127))</f>
        <v/>
      </c>
      <c r="L127" s="11">
        <f>IF(OR($C127="",$D127=""),"",$D127*IFERROR(VLOOKUP($C127,'4. Produtos'!$A$6:$E$25,2,FALSE),0))</f>
        <v/>
      </c>
      <c r="M127" s="10">
        <f>IF(OR($C127="",$D127=""),"",$K127-$L127)</f>
        <v/>
      </c>
      <c r="N127" s="12">
        <f>IF($A127="","",EOMONTH($A127,0))</f>
        <v/>
      </c>
    </row>
    <row r="128">
      <c r="A128" s="5" t="n"/>
      <c r="B128" s="6" t="n"/>
      <c r="C128" s="6" t="n"/>
      <c r="D128" s="7" t="n"/>
      <c r="E128" s="8">
        <f>IF($C128="","",IFERROR(VLOOKUP($C128,'4. Produtos'!$A$6:$E$25,3,FALSE),0))</f>
        <v/>
      </c>
      <c r="F128" s="8" t="n"/>
      <c r="G128" s="9" t="n"/>
      <c r="H128" s="9" t="n"/>
      <c r="I128" s="9" t="n"/>
      <c r="J128" s="6" t="n"/>
      <c r="K128" s="10">
        <f>IF(OR($C128="",$D128=""),"",$D128*$E128-N($F128))</f>
        <v/>
      </c>
      <c r="L128" s="11">
        <f>IF(OR($C128="",$D128=""),"",$D128*IFERROR(VLOOKUP($C128,'4. Produtos'!$A$6:$E$25,2,FALSE),0))</f>
        <v/>
      </c>
      <c r="M128" s="10">
        <f>IF(OR($C128="",$D128=""),"",$K128-$L128)</f>
        <v/>
      </c>
      <c r="N128" s="12">
        <f>IF($A128="","",EOMONTH($A128,0))</f>
        <v/>
      </c>
    </row>
    <row r="129">
      <c r="A129" s="5" t="n"/>
      <c r="B129" s="6" t="n"/>
      <c r="C129" s="6" t="n"/>
      <c r="D129" s="7" t="n"/>
      <c r="E129" s="8">
        <f>IF($C129="","",IFERROR(VLOOKUP($C129,'4. Produtos'!$A$6:$E$25,3,FALSE),0))</f>
        <v/>
      </c>
      <c r="F129" s="8" t="n"/>
      <c r="G129" s="9" t="n"/>
      <c r="H129" s="9" t="n"/>
      <c r="I129" s="9" t="n"/>
      <c r="J129" s="6" t="n"/>
      <c r="K129" s="10">
        <f>IF(OR($C129="",$D129=""),"",$D129*$E129-N($F129))</f>
        <v/>
      </c>
      <c r="L129" s="11">
        <f>IF(OR($C129="",$D129=""),"",$D129*IFERROR(VLOOKUP($C129,'4. Produtos'!$A$6:$E$25,2,FALSE),0))</f>
        <v/>
      </c>
      <c r="M129" s="10">
        <f>IF(OR($C129="",$D129=""),"",$K129-$L129)</f>
        <v/>
      </c>
      <c r="N129" s="12">
        <f>IF($A129="","",EOMONTH($A129,0))</f>
        <v/>
      </c>
    </row>
    <row r="130">
      <c r="A130" s="5" t="n"/>
      <c r="B130" s="6" t="n"/>
      <c r="C130" s="6" t="n"/>
      <c r="D130" s="7" t="n"/>
      <c r="E130" s="8">
        <f>IF($C130="","",IFERROR(VLOOKUP($C130,'4. Produtos'!$A$6:$E$25,3,FALSE),0))</f>
        <v/>
      </c>
      <c r="F130" s="8" t="n"/>
      <c r="G130" s="9" t="n"/>
      <c r="H130" s="9" t="n"/>
      <c r="I130" s="9" t="n"/>
      <c r="J130" s="6" t="n"/>
      <c r="K130" s="10">
        <f>IF(OR($C130="",$D130=""),"",$D130*$E130-N($F130))</f>
        <v/>
      </c>
      <c r="L130" s="11">
        <f>IF(OR($C130="",$D130=""),"",$D130*IFERROR(VLOOKUP($C130,'4. Produtos'!$A$6:$E$25,2,FALSE),0))</f>
        <v/>
      </c>
      <c r="M130" s="10">
        <f>IF(OR($C130="",$D130=""),"",$K130-$L130)</f>
        <v/>
      </c>
      <c r="N130" s="12">
        <f>IF($A130="","",EOMONTH($A130,0))</f>
        <v/>
      </c>
    </row>
    <row r="131">
      <c r="A131" s="5" t="n"/>
      <c r="B131" s="6" t="n"/>
      <c r="C131" s="6" t="n"/>
      <c r="D131" s="7" t="n"/>
      <c r="E131" s="8">
        <f>IF($C131="","",IFERROR(VLOOKUP($C131,'4. Produtos'!$A$6:$E$25,3,FALSE),0))</f>
        <v/>
      </c>
      <c r="F131" s="8" t="n"/>
      <c r="G131" s="9" t="n"/>
      <c r="H131" s="9" t="n"/>
      <c r="I131" s="9" t="n"/>
      <c r="J131" s="6" t="n"/>
      <c r="K131" s="10">
        <f>IF(OR($C131="",$D131=""),"",$D131*$E131-N($F131))</f>
        <v/>
      </c>
      <c r="L131" s="11">
        <f>IF(OR($C131="",$D131=""),"",$D131*IFERROR(VLOOKUP($C131,'4. Produtos'!$A$6:$E$25,2,FALSE),0))</f>
        <v/>
      </c>
      <c r="M131" s="10">
        <f>IF(OR($C131="",$D131=""),"",$K131-$L131)</f>
        <v/>
      </c>
      <c r="N131" s="12">
        <f>IF($A131="","",EOMONTH($A131,0))</f>
        <v/>
      </c>
    </row>
    <row r="132">
      <c r="A132" s="5" t="n"/>
      <c r="B132" s="6" t="n"/>
      <c r="C132" s="6" t="n"/>
      <c r="D132" s="7" t="n"/>
      <c r="E132" s="8">
        <f>IF($C132="","",IFERROR(VLOOKUP($C132,'4. Produtos'!$A$6:$E$25,3,FALSE),0))</f>
        <v/>
      </c>
      <c r="F132" s="8" t="n"/>
      <c r="G132" s="9" t="n"/>
      <c r="H132" s="9" t="n"/>
      <c r="I132" s="9" t="n"/>
      <c r="J132" s="6" t="n"/>
      <c r="K132" s="10">
        <f>IF(OR($C132="",$D132=""),"",$D132*$E132-N($F132))</f>
        <v/>
      </c>
      <c r="L132" s="11">
        <f>IF(OR($C132="",$D132=""),"",$D132*IFERROR(VLOOKUP($C132,'4. Produtos'!$A$6:$E$25,2,FALSE),0))</f>
        <v/>
      </c>
      <c r="M132" s="10">
        <f>IF(OR($C132="",$D132=""),"",$K132-$L132)</f>
        <v/>
      </c>
      <c r="N132" s="12">
        <f>IF($A132="","",EOMONTH($A132,0))</f>
        <v/>
      </c>
    </row>
    <row r="133">
      <c r="A133" s="5" t="n"/>
      <c r="B133" s="6" t="n"/>
      <c r="C133" s="6" t="n"/>
      <c r="D133" s="7" t="n"/>
      <c r="E133" s="8">
        <f>IF($C133="","",IFERROR(VLOOKUP($C133,'4. Produtos'!$A$6:$E$25,3,FALSE),0))</f>
        <v/>
      </c>
      <c r="F133" s="8" t="n"/>
      <c r="G133" s="9" t="n"/>
      <c r="H133" s="9" t="n"/>
      <c r="I133" s="9" t="n"/>
      <c r="J133" s="6" t="n"/>
      <c r="K133" s="10">
        <f>IF(OR($C133="",$D133=""),"",$D133*$E133-N($F133))</f>
        <v/>
      </c>
      <c r="L133" s="11">
        <f>IF(OR($C133="",$D133=""),"",$D133*IFERROR(VLOOKUP($C133,'4. Produtos'!$A$6:$E$25,2,FALSE),0))</f>
        <v/>
      </c>
      <c r="M133" s="10">
        <f>IF(OR($C133="",$D133=""),"",$K133-$L133)</f>
        <v/>
      </c>
      <c r="N133" s="12">
        <f>IF($A133="","",EOMONTH($A133,0))</f>
        <v/>
      </c>
    </row>
    <row r="134">
      <c r="A134" s="5" t="n"/>
      <c r="B134" s="6" t="n"/>
      <c r="C134" s="6" t="n"/>
      <c r="D134" s="7" t="n"/>
      <c r="E134" s="8">
        <f>IF($C134="","",IFERROR(VLOOKUP($C134,'4. Produtos'!$A$6:$E$25,3,FALSE),0))</f>
        <v/>
      </c>
      <c r="F134" s="8" t="n"/>
      <c r="G134" s="9" t="n"/>
      <c r="H134" s="9" t="n"/>
      <c r="I134" s="9" t="n"/>
      <c r="J134" s="6" t="n"/>
      <c r="K134" s="10">
        <f>IF(OR($C134="",$D134=""),"",$D134*$E134-N($F134))</f>
        <v/>
      </c>
      <c r="L134" s="11">
        <f>IF(OR($C134="",$D134=""),"",$D134*IFERROR(VLOOKUP($C134,'4. Produtos'!$A$6:$E$25,2,FALSE),0))</f>
        <v/>
      </c>
      <c r="M134" s="10">
        <f>IF(OR($C134="",$D134=""),"",$K134-$L134)</f>
        <v/>
      </c>
      <c r="N134" s="12">
        <f>IF($A134="","",EOMONTH($A134,0))</f>
        <v/>
      </c>
    </row>
    <row r="135">
      <c r="A135" s="5" t="n"/>
      <c r="B135" s="6" t="n"/>
      <c r="C135" s="6" t="n"/>
      <c r="D135" s="7" t="n"/>
      <c r="E135" s="8">
        <f>IF($C135="","",IFERROR(VLOOKUP($C135,'4. Produtos'!$A$6:$E$25,3,FALSE),0))</f>
        <v/>
      </c>
      <c r="F135" s="8" t="n"/>
      <c r="G135" s="9" t="n"/>
      <c r="H135" s="9" t="n"/>
      <c r="I135" s="9" t="n"/>
      <c r="J135" s="6" t="n"/>
      <c r="K135" s="10">
        <f>IF(OR($C135="",$D135=""),"",$D135*$E135-N($F135))</f>
        <v/>
      </c>
      <c r="L135" s="11">
        <f>IF(OR($C135="",$D135=""),"",$D135*IFERROR(VLOOKUP($C135,'4. Produtos'!$A$6:$E$25,2,FALSE),0))</f>
        <v/>
      </c>
      <c r="M135" s="10">
        <f>IF(OR($C135="",$D135=""),"",$K135-$L135)</f>
        <v/>
      </c>
      <c r="N135" s="12">
        <f>IF($A135="","",EOMONTH($A135,0))</f>
        <v/>
      </c>
    </row>
    <row r="136">
      <c r="A136" s="5" t="n"/>
      <c r="B136" s="6" t="n"/>
      <c r="C136" s="6" t="n"/>
      <c r="D136" s="7" t="n"/>
      <c r="E136" s="8">
        <f>IF($C136="","",IFERROR(VLOOKUP($C136,'4. Produtos'!$A$6:$E$25,3,FALSE),0))</f>
        <v/>
      </c>
      <c r="F136" s="8" t="n"/>
      <c r="G136" s="9" t="n"/>
      <c r="H136" s="9" t="n"/>
      <c r="I136" s="9" t="n"/>
      <c r="J136" s="6" t="n"/>
      <c r="K136" s="10">
        <f>IF(OR($C136="",$D136=""),"",$D136*$E136-N($F136))</f>
        <v/>
      </c>
      <c r="L136" s="11">
        <f>IF(OR($C136="",$D136=""),"",$D136*IFERROR(VLOOKUP($C136,'4. Produtos'!$A$6:$E$25,2,FALSE),0))</f>
        <v/>
      </c>
      <c r="M136" s="10">
        <f>IF(OR($C136="",$D136=""),"",$K136-$L136)</f>
        <v/>
      </c>
      <c r="N136" s="12">
        <f>IF($A136="","",EOMONTH($A136,0))</f>
        <v/>
      </c>
    </row>
    <row r="137">
      <c r="A137" s="5" t="n"/>
      <c r="B137" s="6" t="n"/>
      <c r="C137" s="6" t="n"/>
      <c r="D137" s="7" t="n"/>
      <c r="E137" s="8">
        <f>IF($C137="","",IFERROR(VLOOKUP($C137,'4. Produtos'!$A$6:$E$25,3,FALSE),0))</f>
        <v/>
      </c>
      <c r="F137" s="8" t="n"/>
      <c r="G137" s="9" t="n"/>
      <c r="H137" s="9" t="n"/>
      <c r="I137" s="9" t="n"/>
      <c r="J137" s="6" t="n"/>
      <c r="K137" s="10">
        <f>IF(OR($C137="",$D137=""),"",$D137*$E137-N($F137))</f>
        <v/>
      </c>
      <c r="L137" s="11">
        <f>IF(OR($C137="",$D137=""),"",$D137*IFERROR(VLOOKUP($C137,'4. Produtos'!$A$6:$E$25,2,FALSE),0))</f>
        <v/>
      </c>
      <c r="M137" s="10">
        <f>IF(OR($C137="",$D137=""),"",$K137-$L137)</f>
        <v/>
      </c>
      <c r="N137" s="12">
        <f>IF($A137="","",EOMONTH($A137,0))</f>
        <v/>
      </c>
    </row>
    <row r="138">
      <c r="A138" s="5" t="n"/>
      <c r="B138" s="6" t="n"/>
      <c r="C138" s="6" t="n"/>
      <c r="D138" s="7" t="n"/>
      <c r="E138" s="8">
        <f>IF($C138="","",IFERROR(VLOOKUP($C138,'4. Produtos'!$A$6:$E$25,3,FALSE),0))</f>
        <v/>
      </c>
      <c r="F138" s="8" t="n"/>
      <c r="G138" s="9" t="n"/>
      <c r="H138" s="9" t="n"/>
      <c r="I138" s="9" t="n"/>
      <c r="J138" s="6" t="n"/>
      <c r="K138" s="10">
        <f>IF(OR($C138="",$D138=""),"",$D138*$E138-N($F138))</f>
        <v/>
      </c>
      <c r="L138" s="11">
        <f>IF(OR($C138="",$D138=""),"",$D138*IFERROR(VLOOKUP($C138,'4. Produtos'!$A$6:$E$25,2,FALSE),0))</f>
        <v/>
      </c>
      <c r="M138" s="10">
        <f>IF(OR($C138="",$D138=""),"",$K138-$L138)</f>
        <v/>
      </c>
      <c r="N138" s="12">
        <f>IF($A138="","",EOMONTH($A138,0))</f>
        <v/>
      </c>
    </row>
    <row r="139">
      <c r="A139" s="5" t="n"/>
      <c r="B139" s="6" t="n"/>
      <c r="C139" s="6" t="n"/>
      <c r="D139" s="7" t="n"/>
      <c r="E139" s="8">
        <f>IF($C139="","",IFERROR(VLOOKUP($C139,'4. Produtos'!$A$6:$E$25,3,FALSE),0))</f>
        <v/>
      </c>
      <c r="F139" s="8" t="n"/>
      <c r="G139" s="9" t="n"/>
      <c r="H139" s="9" t="n"/>
      <c r="I139" s="9" t="n"/>
      <c r="J139" s="6" t="n"/>
      <c r="K139" s="10">
        <f>IF(OR($C139="",$D139=""),"",$D139*$E139-N($F139))</f>
        <v/>
      </c>
      <c r="L139" s="11">
        <f>IF(OR($C139="",$D139=""),"",$D139*IFERROR(VLOOKUP($C139,'4. Produtos'!$A$6:$E$25,2,FALSE),0))</f>
        <v/>
      </c>
      <c r="M139" s="10">
        <f>IF(OR($C139="",$D139=""),"",$K139-$L139)</f>
        <v/>
      </c>
      <c r="N139" s="12">
        <f>IF($A139="","",EOMONTH($A139,0))</f>
        <v/>
      </c>
    </row>
    <row r="140">
      <c r="A140" s="5" t="n"/>
      <c r="B140" s="6" t="n"/>
      <c r="C140" s="6" t="n"/>
      <c r="D140" s="7" t="n"/>
      <c r="E140" s="8">
        <f>IF($C140="","",IFERROR(VLOOKUP($C140,'4. Produtos'!$A$6:$E$25,3,FALSE),0))</f>
        <v/>
      </c>
      <c r="F140" s="8" t="n"/>
      <c r="G140" s="9" t="n"/>
      <c r="H140" s="9" t="n"/>
      <c r="I140" s="9" t="n"/>
      <c r="J140" s="6" t="n"/>
      <c r="K140" s="10">
        <f>IF(OR($C140="",$D140=""),"",$D140*$E140-N($F140))</f>
        <v/>
      </c>
      <c r="L140" s="11">
        <f>IF(OR($C140="",$D140=""),"",$D140*IFERROR(VLOOKUP($C140,'4. Produtos'!$A$6:$E$25,2,FALSE),0))</f>
        <v/>
      </c>
      <c r="M140" s="10">
        <f>IF(OR($C140="",$D140=""),"",$K140-$L140)</f>
        <v/>
      </c>
      <c r="N140" s="12">
        <f>IF($A140="","",EOMONTH($A140,0))</f>
        <v/>
      </c>
    </row>
    <row r="141">
      <c r="A141" s="5" t="n"/>
      <c r="B141" s="6" t="n"/>
      <c r="C141" s="6" t="n"/>
      <c r="D141" s="7" t="n"/>
      <c r="E141" s="8">
        <f>IF($C141="","",IFERROR(VLOOKUP($C141,'4. Produtos'!$A$6:$E$25,3,FALSE),0))</f>
        <v/>
      </c>
      <c r="F141" s="8" t="n"/>
      <c r="G141" s="9" t="n"/>
      <c r="H141" s="9" t="n"/>
      <c r="I141" s="9" t="n"/>
      <c r="J141" s="6" t="n"/>
      <c r="K141" s="10">
        <f>IF(OR($C141="",$D141=""),"",$D141*$E141-N($F141))</f>
        <v/>
      </c>
      <c r="L141" s="11">
        <f>IF(OR($C141="",$D141=""),"",$D141*IFERROR(VLOOKUP($C141,'4. Produtos'!$A$6:$E$25,2,FALSE),0))</f>
        <v/>
      </c>
      <c r="M141" s="10">
        <f>IF(OR($C141="",$D141=""),"",$K141-$L141)</f>
        <v/>
      </c>
      <c r="N141" s="12">
        <f>IF($A141="","",EOMONTH($A141,0))</f>
        <v/>
      </c>
    </row>
    <row r="142">
      <c r="A142" s="5" t="n"/>
      <c r="B142" s="6" t="n"/>
      <c r="C142" s="6" t="n"/>
      <c r="D142" s="7" t="n"/>
      <c r="E142" s="8">
        <f>IF($C142="","",IFERROR(VLOOKUP($C142,'4. Produtos'!$A$6:$E$25,3,FALSE),0))</f>
        <v/>
      </c>
      <c r="F142" s="8" t="n"/>
      <c r="G142" s="9" t="n"/>
      <c r="H142" s="9" t="n"/>
      <c r="I142" s="9" t="n"/>
      <c r="J142" s="6" t="n"/>
      <c r="K142" s="10">
        <f>IF(OR($C142="",$D142=""),"",$D142*$E142-N($F142))</f>
        <v/>
      </c>
      <c r="L142" s="11">
        <f>IF(OR($C142="",$D142=""),"",$D142*IFERROR(VLOOKUP($C142,'4. Produtos'!$A$6:$E$25,2,FALSE),0))</f>
        <v/>
      </c>
      <c r="M142" s="10">
        <f>IF(OR($C142="",$D142=""),"",$K142-$L142)</f>
        <v/>
      </c>
      <c r="N142" s="12">
        <f>IF($A142="","",EOMONTH($A142,0))</f>
        <v/>
      </c>
    </row>
    <row r="143">
      <c r="A143" s="5" t="n"/>
      <c r="B143" s="6" t="n"/>
      <c r="C143" s="6" t="n"/>
      <c r="D143" s="7" t="n"/>
      <c r="E143" s="8">
        <f>IF($C143="","",IFERROR(VLOOKUP($C143,'4. Produtos'!$A$6:$E$25,3,FALSE),0))</f>
        <v/>
      </c>
      <c r="F143" s="8" t="n"/>
      <c r="G143" s="9" t="n"/>
      <c r="H143" s="9" t="n"/>
      <c r="I143" s="9" t="n"/>
      <c r="J143" s="6" t="n"/>
      <c r="K143" s="10">
        <f>IF(OR($C143="",$D143=""),"",$D143*$E143-N($F143))</f>
        <v/>
      </c>
      <c r="L143" s="11">
        <f>IF(OR($C143="",$D143=""),"",$D143*IFERROR(VLOOKUP($C143,'4. Produtos'!$A$6:$E$25,2,FALSE),0))</f>
        <v/>
      </c>
      <c r="M143" s="10">
        <f>IF(OR($C143="",$D143=""),"",$K143-$L143)</f>
        <v/>
      </c>
      <c r="N143" s="12">
        <f>IF($A143="","",EOMONTH($A143,0))</f>
        <v/>
      </c>
    </row>
    <row r="144">
      <c r="A144" s="5" t="n"/>
      <c r="B144" s="6" t="n"/>
      <c r="C144" s="6" t="n"/>
      <c r="D144" s="7" t="n"/>
      <c r="E144" s="8">
        <f>IF($C144="","",IFERROR(VLOOKUP($C144,'4. Produtos'!$A$6:$E$25,3,FALSE),0))</f>
        <v/>
      </c>
      <c r="F144" s="8" t="n"/>
      <c r="G144" s="9" t="n"/>
      <c r="H144" s="9" t="n"/>
      <c r="I144" s="9" t="n"/>
      <c r="J144" s="6" t="n"/>
      <c r="K144" s="10">
        <f>IF(OR($C144="",$D144=""),"",$D144*$E144-N($F144))</f>
        <v/>
      </c>
      <c r="L144" s="11">
        <f>IF(OR($C144="",$D144=""),"",$D144*IFERROR(VLOOKUP($C144,'4. Produtos'!$A$6:$E$25,2,FALSE),0))</f>
        <v/>
      </c>
      <c r="M144" s="10">
        <f>IF(OR($C144="",$D144=""),"",$K144-$L144)</f>
        <v/>
      </c>
      <c r="N144" s="12">
        <f>IF($A144="","",EOMONTH($A144,0))</f>
        <v/>
      </c>
    </row>
    <row r="145">
      <c r="A145" s="5" t="n"/>
      <c r="B145" s="6" t="n"/>
      <c r="C145" s="6" t="n"/>
      <c r="D145" s="7" t="n"/>
      <c r="E145" s="8">
        <f>IF($C145="","",IFERROR(VLOOKUP($C145,'4. Produtos'!$A$6:$E$25,3,FALSE),0))</f>
        <v/>
      </c>
      <c r="F145" s="8" t="n"/>
      <c r="G145" s="9" t="n"/>
      <c r="H145" s="9" t="n"/>
      <c r="I145" s="9" t="n"/>
      <c r="J145" s="6" t="n"/>
      <c r="K145" s="10">
        <f>IF(OR($C145="",$D145=""),"",$D145*$E145-N($F145))</f>
        <v/>
      </c>
      <c r="L145" s="11">
        <f>IF(OR($C145="",$D145=""),"",$D145*IFERROR(VLOOKUP($C145,'4. Produtos'!$A$6:$E$25,2,FALSE),0))</f>
        <v/>
      </c>
      <c r="M145" s="10">
        <f>IF(OR($C145="",$D145=""),"",$K145-$L145)</f>
        <v/>
      </c>
      <c r="N145" s="12">
        <f>IF($A145="","",EOMONTH($A145,0))</f>
        <v/>
      </c>
    </row>
    <row r="146">
      <c r="A146" s="5" t="n"/>
      <c r="B146" s="6" t="n"/>
      <c r="C146" s="6" t="n"/>
      <c r="D146" s="7" t="n"/>
      <c r="E146" s="8">
        <f>IF($C146="","",IFERROR(VLOOKUP($C146,'4. Produtos'!$A$6:$E$25,3,FALSE),0))</f>
        <v/>
      </c>
      <c r="F146" s="8" t="n"/>
      <c r="G146" s="9" t="n"/>
      <c r="H146" s="9" t="n"/>
      <c r="I146" s="9" t="n"/>
      <c r="J146" s="6" t="n"/>
      <c r="K146" s="10">
        <f>IF(OR($C146="",$D146=""),"",$D146*$E146-N($F146))</f>
        <v/>
      </c>
      <c r="L146" s="11">
        <f>IF(OR($C146="",$D146=""),"",$D146*IFERROR(VLOOKUP($C146,'4. Produtos'!$A$6:$E$25,2,FALSE),0))</f>
        <v/>
      </c>
      <c r="M146" s="10">
        <f>IF(OR($C146="",$D146=""),"",$K146-$L146)</f>
        <v/>
      </c>
      <c r="N146" s="12">
        <f>IF($A146="","",EOMONTH($A146,0))</f>
        <v/>
      </c>
    </row>
    <row r="147">
      <c r="A147" s="5" t="n"/>
      <c r="B147" s="6" t="n"/>
      <c r="C147" s="6" t="n"/>
      <c r="D147" s="7" t="n"/>
      <c r="E147" s="8">
        <f>IF($C147="","",IFERROR(VLOOKUP($C147,'4. Produtos'!$A$6:$E$25,3,FALSE),0))</f>
        <v/>
      </c>
      <c r="F147" s="8" t="n"/>
      <c r="G147" s="9" t="n"/>
      <c r="H147" s="9" t="n"/>
      <c r="I147" s="9" t="n"/>
      <c r="J147" s="6" t="n"/>
      <c r="K147" s="10">
        <f>IF(OR($C147="",$D147=""),"",$D147*$E147-N($F147))</f>
        <v/>
      </c>
      <c r="L147" s="11">
        <f>IF(OR($C147="",$D147=""),"",$D147*IFERROR(VLOOKUP($C147,'4. Produtos'!$A$6:$E$25,2,FALSE),0))</f>
        <v/>
      </c>
      <c r="M147" s="10">
        <f>IF(OR($C147="",$D147=""),"",$K147-$L147)</f>
        <v/>
      </c>
      <c r="N147" s="12">
        <f>IF($A147="","",EOMONTH($A147,0))</f>
        <v/>
      </c>
    </row>
    <row r="148">
      <c r="A148" s="5" t="n"/>
      <c r="B148" s="6" t="n"/>
      <c r="C148" s="6" t="n"/>
      <c r="D148" s="7" t="n"/>
      <c r="E148" s="8">
        <f>IF($C148="","",IFERROR(VLOOKUP($C148,'4. Produtos'!$A$6:$E$25,3,FALSE),0))</f>
        <v/>
      </c>
      <c r="F148" s="8" t="n"/>
      <c r="G148" s="9" t="n"/>
      <c r="H148" s="9" t="n"/>
      <c r="I148" s="9" t="n"/>
      <c r="J148" s="6" t="n"/>
      <c r="K148" s="10">
        <f>IF(OR($C148="",$D148=""),"",$D148*$E148-N($F148))</f>
        <v/>
      </c>
      <c r="L148" s="11">
        <f>IF(OR($C148="",$D148=""),"",$D148*IFERROR(VLOOKUP($C148,'4. Produtos'!$A$6:$E$25,2,FALSE),0))</f>
        <v/>
      </c>
      <c r="M148" s="10">
        <f>IF(OR($C148="",$D148=""),"",$K148-$L148)</f>
        <v/>
      </c>
      <c r="N148" s="12">
        <f>IF($A148="","",EOMONTH($A148,0))</f>
        <v/>
      </c>
    </row>
    <row r="149">
      <c r="A149" s="5" t="n"/>
      <c r="B149" s="6" t="n"/>
      <c r="C149" s="6" t="n"/>
      <c r="D149" s="7" t="n"/>
      <c r="E149" s="8">
        <f>IF($C149="","",IFERROR(VLOOKUP($C149,'4. Produtos'!$A$6:$E$25,3,FALSE),0))</f>
        <v/>
      </c>
      <c r="F149" s="8" t="n"/>
      <c r="G149" s="9" t="n"/>
      <c r="H149" s="9" t="n"/>
      <c r="I149" s="9" t="n"/>
      <c r="J149" s="6" t="n"/>
      <c r="K149" s="10">
        <f>IF(OR($C149="",$D149=""),"",$D149*$E149-N($F149))</f>
        <v/>
      </c>
      <c r="L149" s="11">
        <f>IF(OR($C149="",$D149=""),"",$D149*IFERROR(VLOOKUP($C149,'4. Produtos'!$A$6:$E$25,2,FALSE),0))</f>
        <v/>
      </c>
      <c r="M149" s="10">
        <f>IF(OR($C149="",$D149=""),"",$K149-$L149)</f>
        <v/>
      </c>
      <c r="N149" s="12">
        <f>IF($A149="","",EOMONTH($A149,0))</f>
        <v/>
      </c>
    </row>
    <row r="150">
      <c r="A150" s="5" t="n"/>
      <c r="B150" s="6" t="n"/>
      <c r="C150" s="6" t="n"/>
      <c r="D150" s="7" t="n"/>
      <c r="E150" s="8">
        <f>IF($C150="","",IFERROR(VLOOKUP($C150,'4. Produtos'!$A$6:$E$25,3,FALSE),0))</f>
        <v/>
      </c>
      <c r="F150" s="8" t="n"/>
      <c r="G150" s="9" t="n"/>
      <c r="H150" s="9" t="n"/>
      <c r="I150" s="9" t="n"/>
      <c r="J150" s="6" t="n"/>
      <c r="K150" s="10">
        <f>IF(OR($C150="",$D150=""),"",$D150*$E150-N($F150))</f>
        <v/>
      </c>
      <c r="L150" s="11">
        <f>IF(OR($C150="",$D150=""),"",$D150*IFERROR(VLOOKUP($C150,'4. Produtos'!$A$6:$E$25,2,FALSE),0))</f>
        <v/>
      </c>
      <c r="M150" s="10">
        <f>IF(OR($C150="",$D150=""),"",$K150-$L150)</f>
        <v/>
      </c>
      <c r="N150" s="12">
        <f>IF($A150="","",EOMONTH($A150,0))</f>
        <v/>
      </c>
    </row>
    <row r="151">
      <c r="A151" s="5" t="n"/>
      <c r="B151" s="6" t="n"/>
      <c r="C151" s="6" t="n"/>
      <c r="D151" s="7" t="n"/>
      <c r="E151" s="8">
        <f>IF($C151="","",IFERROR(VLOOKUP($C151,'4. Produtos'!$A$6:$E$25,3,FALSE),0))</f>
        <v/>
      </c>
      <c r="F151" s="8" t="n"/>
      <c r="G151" s="9" t="n"/>
      <c r="H151" s="9" t="n"/>
      <c r="I151" s="9" t="n"/>
      <c r="J151" s="6" t="n"/>
      <c r="K151" s="10">
        <f>IF(OR($C151="",$D151=""),"",$D151*$E151-N($F151))</f>
        <v/>
      </c>
      <c r="L151" s="11">
        <f>IF(OR($C151="",$D151=""),"",$D151*IFERROR(VLOOKUP($C151,'4. Produtos'!$A$6:$E$25,2,FALSE),0))</f>
        <v/>
      </c>
      <c r="M151" s="10">
        <f>IF(OR($C151="",$D151=""),"",$K151-$L151)</f>
        <v/>
      </c>
      <c r="N151" s="12">
        <f>IF($A151="","",EOMONTH($A151,0))</f>
        <v/>
      </c>
    </row>
    <row r="152">
      <c r="A152" s="5" t="n"/>
      <c r="B152" s="6" t="n"/>
      <c r="C152" s="6" t="n"/>
      <c r="D152" s="7" t="n"/>
      <c r="E152" s="8">
        <f>IF($C152="","",IFERROR(VLOOKUP($C152,'4. Produtos'!$A$6:$E$25,3,FALSE),0))</f>
        <v/>
      </c>
      <c r="F152" s="8" t="n"/>
      <c r="G152" s="9" t="n"/>
      <c r="H152" s="9" t="n"/>
      <c r="I152" s="9" t="n"/>
      <c r="J152" s="6" t="n"/>
      <c r="K152" s="10">
        <f>IF(OR($C152="",$D152=""),"",$D152*$E152-N($F152))</f>
        <v/>
      </c>
      <c r="L152" s="11">
        <f>IF(OR($C152="",$D152=""),"",$D152*IFERROR(VLOOKUP($C152,'4. Produtos'!$A$6:$E$25,2,FALSE),0))</f>
        <v/>
      </c>
      <c r="M152" s="10">
        <f>IF(OR($C152="",$D152=""),"",$K152-$L152)</f>
        <v/>
      </c>
      <c r="N152" s="12">
        <f>IF($A152="","",EOMONTH($A152,0))</f>
        <v/>
      </c>
    </row>
    <row r="153">
      <c r="A153" s="5" t="n"/>
      <c r="B153" s="6" t="n"/>
      <c r="C153" s="6" t="n"/>
      <c r="D153" s="7" t="n"/>
      <c r="E153" s="8">
        <f>IF($C153="","",IFERROR(VLOOKUP($C153,'4. Produtos'!$A$6:$E$25,3,FALSE),0))</f>
        <v/>
      </c>
      <c r="F153" s="8" t="n"/>
      <c r="G153" s="9" t="n"/>
      <c r="H153" s="9" t="n"/>
      <c r="I153" s="9" t="n"/>
      <c r="J153" s="6" t="n"/>
      <c r="K153" s="10">
        <f>IF(OR($C153="",$D153=""),"",$D153*$E153-N($F153))</f>
        <v/>
      </c>
      <c r="L153" s="11">
        <f>IF(OR($C153="",$D153=""),"",$D153*IFERROR(VLOOKUP($C153,'4. Produtos'!$A$6:$E$25,2,FALSE),0))</f>
        <v/>
      </c>
      <c r="M153" s="10">
        <f>IF(OR($C153="",$D153=""),"",$K153-$L153)</f>
        <v/>
      </c>
      <c r="N153" s="12">
        <f>IF($A153="","",EOMONTH($A153,0))</f>
        <v/>
      </c>
    </row>
    <row r="154">
      <c r="A154" s="5" t="n"/>
      <c r="B154" s="6" t="n"/>
      <c r="C154" s="6" t="n"/>
      <c r="D154" s="7" t="n"/>
      <c r="E154" s="8">
        <f>IF($C154="","",IFERROR(VLOOKUP($C154,'4. Produtos'!$A$6:$E$25,3,FALSE),0))</f>
        <v/>
      </c>
      <c r="F154" s="8" t="n"/>
      <c r="G154" s="9" t="n"/>
      <c r="H154" s="9" t="n"/>
      <c r="I154" s="9" t="n"/>
      <c r="J154" s="6" t="n"/>
      <c r="K154" s="10">
        <f>IF(OR($C154="",$D154=""),"",$D154*$E154-N($F154))</f>
        <v/>
      </c>
      <c r="L154" s="11">
        <f>IF(OR($C154="",$D154=""),"",$D154*IFERROR(VLOOKUP($C154,'4. Produtos'!$A$6:$E$25,2,FALSE),0))</f>
        <v/>
      </c>
      <c r="M154" s="10">
        <f>IF(OR($C154="",$D154=""),"",$K154-$L154)</f>
        <v/>
      </c>
      <c r="N154" s="12">
        <f>IF($A154="","",EOMONTH($A154,0))</f>
        <v/>
      </c>
    </row>
    <row r="155">
      <c r="A155" s="5" t="n"/>
      <c r="B155" s="6" t="n"/>
      <c r="C155" s="6" t="n"/>
      <c r="D155" s="7" t="n"/>
      <c r="E155" s="8">
        <f>IF($C155="","",IFERROR(VLOOKUP($C155,'4. Produtos'!$A$6:$E$25,3,FALSE),0))</f>
        <v/>
      </c>
      <c r="F155" s="8" t="n"/>
      <c r="G155" s="9" t="n"/>
      <c r="H155" s="9" t="n"/>
      <c r="I155" s="9" t="n"/>
      <c r="J155" s="6" t="n"/>
      <c r="K155" s="10">
        <f>IF(OR($C155="",$D155=""),"",$D155*$E155-N($F155))</f>
        <v/>
      </c>
      <c r="L155" s="11">
        <f>IF(OR($C155="",$D155=""),"",$D155*IFERROR(VLOOKUP($C155,'4. Produtos'!$A$6:$E$25,2,FALSE),0))</f>
        <v/>
      </c>
      <c r="M155" s="10">
        <f>IF(OR($C155="",$D155=""),"",$K155-$L155)</f>
        <v/>
      </c>
      <c r="N155" s="12">
        <f>IF($A155="","",EOMONTH($A155,0))</f>
        <v/>
      </c>
    </row>
    <row r="156">
      <c r="A156" s="5" t="n"/>
      <c r="B156" s="6" t="n"/>
      <c r="C156" s="6" t="n"/>
      <c r="D156" s="7" t="n"/>
      <c r="E156" s="8">
        <f>IF($C156="","",IFERROR(VLOOKUP($C156,'4. Produtos'!$A$6:$E$25,3,FALSE),0))</f>
        <v/>
      </c>
      <c r="F156" s="8" t="n"/>
      <c r="G156" s="9" t="n"/>
      <c r="H156" s="9" t="n"/>
      <c r="I156" s="9" t="n"/>
      <c r="J156" s="6" t="n"/>
      <c r="K156" s="10">
        <f>IF(OR($C156="",$D156=""),"",$D156*$E156-N($F156))</f>
        <v/>
      </c>
      <c r="L156" s="11">
        <f>IF(OR($C156="",$D156=""),"",$D156*IFERROR(VLOOKUP($C156,'4. Produtos'!$A$6:$E$25,2,FALSE),0))</f>
        <v/>
      </c>
      <c r="M156" s="10">
        <f>IF(OR($C156="",$D156=""),"",$K156-$L156)</f>
        <v/>
      </c>
      <c r="N156" s="12">
        <f>IF($A156="","",EOMONTH($A156,0))</f>
        <v/>
      </c>
    </row>
    <row r="157">
      <c r="A157" s="5" t="n"/>
      <c r="B157" s="6" t="n"/>
      <c r="C157" s="6" t="n"/>
      <c r="D157" s="7" t="n"/>
      <c r="E157" s="8">
        <f>IF($C157="","",IFERROR(VLOOKUP($C157,'4. Produtos'!$A$6:$E$25,3,FALSE),0))</f>
        <v/>
      </c>
      <c r="F157" s="8" t="n"/>
      <c r="G157" s="9" t="n"/>
      <c r="H157" s="9" t="n"/>
      <c r="I157" s="9" t="n"/>
      <c r="J157" s="6" t="n"/>
      <c r="K157" s="10">
        <f>IF(OR($C157="",$D157=""),"",$D157*$E157-N($F157))</f>
        <v/>
      </c>
      <c r="L157" s="11">
        <f>IF(OR($C157="",$D157=""),"",$D157*IFERROR(VLOOKUP($C157,'4. Produtos'!$A$6:$E$25,2,FALSE),0))</f>
        <v/>
      </c>
      <c r="M157" s="10">
        <f>IF(OR($C157="",$D157=""),"",$K157-$L157)</f>
        <v/>
      </c>
      <c r="N157" s="12">
        <f>IF($A157="","",EOMONTH($A157,0))</f>
        <v/>
      </c>
    </row>
    <row r="158">
      <c r="A158" s="5" t="n"/>
      <c r="B158" s="6" t="n"/>
      <c r="C158" s="6" t="n"/>
      <c r="D158" s="7" t="n"/>
      <c r="E158" s="8">
        <f>IF($C158="","",IFERROR(VLOOKUP($C158,'4. Produtos'!$A$6:$E$25,3,FALSE),0))</f>
        <v/>
      </c>
      <c r="F158" s="8" t="n"/>
      <c r="G158" s="9" t="n"/>
      <c r="H158" s="9" t="n"/>
      <c r="I158" s="9" t="n"/>
      <c r="J158" s="6" t="n"/>
      <c r="K158" s="10">
        <f>IF(OR($C158="",$D158=""),"",$D158*$E158-N($F158))</f>
        <v/>
      </c>
      <c r="L158" s="11">
        <f>IF(OR($C158="",$D158=""),"",$D158*IFERROR(VLOOKUP($C158,'4. Produtos'!$A$6:$E$25,2,FALSE),0))</f>
        <v/>
      </c>
      <c r="M158" s="10">
        <f>IF(OR($C158="",$D158=""),"",$K158-$L158)</f>
        <v/>
      </c>
      <c r="N158" s="12">
        <f>IF($A158="","",EOMONTH($A158,0))</f>
        <v/>
      </c>
    </row>
    <row r="159">
      <c r="A159" s="5" t="n"/>
      <c r="B159" s="6" t="n"/>
      <c r="C159" s="6" t="n"/>
      <c r="D159" s="7" t="n"/>
      <c r="E159" s="8">
        <f>IF($C159="","",IFERROR(VLOOKUP($C159,'4. Produtos'!$A$6:$E$25,3,FALSE),0))</f>
        <v/>
      </c>
      <c r="F159" s="8" t="n"/>
      <c r="G159" s="9" t="n"/>
      <c r="H159" s="9" t="n"/>
      <c r="I159" s="9" t="n"/>
      <c r="J159" s="6" t="n"/>
      <c r="K159" s="10">
        <f>IF(OR($C159="",$D159=""),"",$D159*$E159-N($F159))</f>
        <v/>
      </c>
      <c r="L159" s="11">
        <f>IF(OR($C159="",$D159=""),"",$D159*IFERROR(VLOOKUP($C159,'4. Produtos'!$A$6:$E$25,2,FALSE),0))</f>
        <v/>
      </c>
      <c r="M159" s="10">
        <f>IF(OR($C159="",$D159=""),"",$K159-$L159)</f>
        <v/>
      </c>
      <c r="N159" s="12">
        <f>IF($A159="","",EOMONTH($A159,0))</f>
        <v/>
      </c>
    </row>
    <row r="160">
      <c r="A160" s="5" t="n"/>
      <c r="B160" s="6" t="n"/>
      <c r="C160" s="6" t="n"/>
      <c r="D160" s="7" t="n"/>
      <c r="E160" s="8">
        <f>IF($C160="","",IFERROR(VLOOKUP($C160,'4. Produtos'!$A$6:$E$25,3,FALSE),0))</f>
        <v/>
      </c>
      <c r="F160" s="8" t="n"/>
      <c r="G160" s="9" t="n"/>
      <c r="H160" s="9" t="n"/>
      <c r="I160" s="9" t="n"/>
      <c r="J160" s="6" t="n"/>
      <c r="K160" s="10">
        <f>IF(OR($C160="",$D160=""),"",$D160*$E160-N($F160))</f>
        <v/>
      </c>
      <c r="L160" s="11">
        <f>IF(OR($C160="",$D160=""),"",$D160*IFERROR(VLOOKUP($C160,'4. Produtos'!$A$6:$E$25,2,FALSE),0))</f>
        <v/>
      </c>
      <c r="M160" s="10">
        <f>IF(OR($C160="",$D160=""),"",$K160-$L160)</f>
        <v/>
      </c>
      <c r="N160" s="12">
        <f>IF($A160="","",EOMONTH($A160,0))</f>
        <v/>
      </c>
    </row>
    <row r="161">
      <c r="A161" s="5" t="n"/>
      <c r="B161" s="6" t="n"/>
      <c r="C161" s="6" t="n"/>
      <c r="D161" s="7" t="n"/>
      <c r="E161" s="8">
        <f>IF($C161="","",IFERROR(VLOOKUP($C161,'4. Produtos'!$A$6:$E$25,3,FALSE),0))</f>
        <v/>
      </c>
      <c r="F161" s="8" t="n"/>
      <c r="G161" s="9" t="n"/>
      <c r="H161" s="9" t="n"/>
      <c r="I161" s="9" t="n"/>
      <c r="J161" s="6" t="n"/>
      <c r="K161" s="10">
        <f>IF(OR($C161="",$D161=""),"",$D161*$E161-N($F161))</f>
        <v/>
      </c>
      <c r="L161" s="11">
        <f>IF(OR($C161="",$D161=""),"",$D161*IFERROR(VLOOKUP($C161,'4. Produtos'!$A$6:$E$25,2,FALSE),0))</f>
        <v/>
      </c>
      <c r="M161" s="10">
        <f>IF(OR($C161="",$D161=""),"",$K161-$L161)</f>
        <v/>
      </c>
      <c r="N161" s="12">
        <f>IF($A161="","",EOMONTH($A161,0))</f>
        <v/>
      </c>
    </row>
    <row r="162">
      <c r="A162" s="5" t="n"/>
      <c r="B162" s="6" t="n"/>
      <c r="C162" s="6" t="n"/>
      <c r="D162" s="7" t="n"/>
      <c r="E162" s="8">
        <f>IF($C162="","",IFERROR(VLOOKUP($C162,'4. Produtos'!$A$6:$E$25,3,FALSE),0))</f>
        <v/>
      </c>
      <c r="F162" s="8" t="n"/>
      <c r="G162" s="9" t="n"/>
      <c r="H162" s="9" t="n"/>
      <c r="I162" s="9" t="n"/>
      <c r="J162" s="6" t="n"/>
      <c r="K162" s="10">
        <f>IF(OR($C162="",$D162=""),"",$D162*$E162-N($F162))</f>
        <v/>
      </c>
      <c r="L162" s="11">
        <f>IF(OR($C162="",$D162=""),"",$D162*IFERROR(VLOOKUP($C162,'4. Produtos'!$A$6:$E$25,2,FALSE),0))</f>
        <v/>
      </c>
      <c r="M162" s="10">
        <f>IF(OR($C162="",$D162=""),"",$K162-$L162)</f>
        <v/>
      </c>
      <c r="N162" s="12">
        <f>IF($A162="","",EOMONTH($A162,0))</f>
        <v/>
      </c>
    </row>
    <row r="163">
      <c r="A163" s="5" t="n"/>
      <c r="B163" s="6" t="n"/>
      <c r="C163" s="6" t="n"/>
      <c r="D163" s="7" t="n"/>
      <c r="E163" s="8">
        <f>IF($C163="","",IFERROR(VLOOKUP($C163,'4. Produtos'!$A$6:$E$25,3,FALSE),0))</f>
        <v/>
      </c>
      <c r="F163" s="8" t="n"/>
      <c r="G163" s="9" t="n"/>
      <c r="H163" s="9" t="n"/>
      <c r="I163" s="9" t="n"/>
      <c r="J163" s="6" t="n"/>
      <c r="K163" s="10">
        <f>IF(OR($C163="",$D163=""),"",$D163*$E163-N($F163))</f>
        <v/>
      </c>
      <c r="L163" s="11">
        <f>IF(OR($C163="",$D163=""),"",$D163*IFERROR(VLOOKUP($C163,'4. Produtos'!$A$6:$E$25,2,FALSE),0))</f>
        <v/>
      </c>
      <c r="M163" s="10">
        <f>IF(OR($C163="",$D163=""),"",$K163-$L163)</f>
        <v/>
      </c>
      <c r="N163" s="12">
        <f>IF($A163="","",EOMONTH($A163,0))</f>
        <v/>
      </c>
    </row>
    <row r="164">
      <c r="A164" s="5" t="n"/>
      <c r="B164" s="6" t="n"/>
      <c r="C164" s="6" t="n"/>
      <c r="D164" s="7" t="n"/>
      <c r="E164" s="8">
        <f>IF($C164="","",IFERROR(VLOOKUP($C164,'4. Produtos'!$A$6:$E$25,3,FALSE),0))</f>
        <v/>
      </c>
      <c r="F164" s="8" t="n"/>
      <c r="G164" s="9" t="n"/>
      <c r="H164" s="9" t="n"/>
      <c r="I164" s="9" t="n"/>
      <c r="J164" s="6" t="n"/>
      <c r="K164" s="10">
        <f>IF(OR($C164="",$D164=""),"",$D164*$E164-N($F164))</f>
        <v/>
      </c>
      <c r="L164" s="11">
        <f>IF(OR($C164="",$D164=""),"",$D164*IFERROR(VLOOKUP($C164,'4. Produtos'!$A$6:$E$25,2,FALSE),0))</f>
        <v/>
      </c>
      <c r="M164" s="10">
        <f>IF(OR($C164="",$D164=""),"",$K164-$L164)</f>
        <v/>
      </c>
      <c r="N164" s="12">
        <f>IF($A164="","",EOMONTH($A164,0))</f>
        <v/>
      </c>
    </row>
    <row r="165">
      <c r="A165" s="5" t="n"/>
      <c r="B165" s="6" t="n"/>
      <c r="C165" s="6" t="n"/>
      <c r="D165" s="7" t="n"/>
      <c r="E165" s="8">
        <f>IF($C165="","",IFERROR(VLOOKUP($C165,'4. Produtos'!$A$6:$E$25,3,FALSE),0))</f>
        <v/>
      </c>
      <c r="F165" s="8" t="n"/>
      <c r="G165" s="9" t="n"/>
      <c r="H165" s="9" t="n"/>
      <c r="I165" s="9" t="n"/>
      <c r="J165" s="6" t="n"/>
      <c r="K165" s="10">
        <f>IF(OR($C165="",$D165=""),"",$D165*$E165-N($F165))</f>
        <v/>
      </c>
      <c r="L165" s="11">
        <f>IF(OR($C165="",$D165=""),"",$D165*IFERROR(VLOOKUP($C165,'4. Produtos'!$A$6:$E$25,2,FALSE),0))</f>
        <v/>
      </c>
      <c r="M165" s="10">
        <f>IF(OR($C165="",$D165=""),"",$K165-$L165)</f>
        <v/>
      </c>
      <c r="N165" s="12">
        <f>IF($A165="","",EOMONTH($A165,0))</f>
        <v/>
      </c>
    </row>
    <row r="166">
      <c r="A166" s="5" t="n"/>
      <c r="B166" s="6" t="n"/>
      <c r="C166" s="6" t="n"/>
      <c r="D166" s="7" t="n"/>
      <c r="E166" s="8">
        <f>IF($C166="","",IFERROR(VLOOKUP($C166,'4. Produtos'!$A$6:$E$25,3,FALSE),0))</f>
        <v/>
      </c>
      <c r="F166" s="8" t="n"/>
      <c r="G166" s="9" t="n"/>
      <c r="H166" s="9" t="n"/>
      <c r="I166" s="9" t="n"/>
      <c r="J166" s="6" t="n"/>
      <c r="K166" s="10">
        <f>IF(OR($C166="",$D166=""),"",$D166*$E166-N($F166))</f>
        <v/>
      </c>
      <c r="L166" s="11">
        <f>IF(OR($C166="",$D166=""),"",$D166*IFERROR(VLOOKUP($C166,'4. Produtos'!$A$6:$E$25,2,FALSE),0))</f>
        <v/>
      </c>
      <c r="M166" s="10">
        <f>IF(OR($C166="",$D166=""),"",$K166-$L166)</f>
        <v/>
      </c>
      <c r="N166" s="12">
        <f>IF($A166="","",EOMONTH($A166,0))</f>
        <v/>
      </c>
    </row>
    <row r="167">
      <c r="A167" s="5" t="n"/>
      <c r="B167" s="6" t="n"/>
      <c r="C167" s="6" t="n"/>
      <c r="D167" s="7" t="n"/>
      <c r="E167" s="8">
        <f>IF($C167="","",IFERROR(VLOOKUP($C167,'4. Produtos'!$A$6:$E$25,3,FALSE),0))</f>
        <v/>
      </c>
      <c r="F167" s="8" t="n"/>
      <c r="G167" s="9" t="n"/>
      <c r="H167" s="9" t="n"/>
      <c r="I167" s="9" t="n"/>
      <c r="J167" s="6" t="n"/>
      <c r="K167" s="10">
        <f>IF(OR($C167="",$D167=""),"",$D167*$E167-N($F167))</f>
        <v/>
      </c>
      <c r="L167" s="11">
        <f>IF(OR($C167="",$D167=""),"",$D167*IFERROR(VLOOKUP($C167,'4. Produtos'!$A$6:$E$25,2,FALSE),0))</f>
        <v/>
      </c>
      <c r="M167" s="10">
        <f>IF(OR($C167="",$D167=""),"",$K167-$L167)</f>
        <v/>
      </c>
      <c r="N167" s="12">
        <f>IF($A167="","",EOMONTH($A167,0))</f>
        <v/>
      </c>
    </row>
    <row r="168">
      <c r="A168" s="5" t="n"/>
      <c r="B168" s="6" t="n"/>
      <c r="C168" s="6" t="n"/>
      <c r="D168" s="7" t="n"/>
      <c r="E168" s="8">
        <f>IF($C168="","",IFERROR(VLOOKUP($C168,'4. Produtos'!$A$6:$E$25,3,FALSE),0))</f>
        <v/>
      </c>
      <c r="F168" s="8" t="n"/>
      <c r="G168" s="9" t="n"/>
      <c r="H168" s="9" t="n"/>
      <c r="I168" s="9" t="n"/>
      <c r="J168" s="6" t="n"/>
      <c r="K168" s="10">
        <f>IF(OR($C168="",$D168=""),"",$D168*$E168-N($F168))</f>
        <v/>
      </c>
      <c r="L168" s="11">
        <f>IF(OR($C168="",$D168=""),"",$D168*IFERROR(VLOOKUP($C168,'4. Produtos'!$A$6:$E$25,2,FALSE),0))</f>
        <v/>
      </c>
      <c r="M168" s="10">
        <f>IF(OR($C168="",$D168=""),"",$K168-$L168)</f>
        <v/>
      </c>
      <c r="N168" s="12">
        <f>IF($A168="","",EOMONTH($A168,0))</f>
        <v/>
      </c>
    </row>
    <row r="169">
      <c r="A169" s="5" t="n"/>
      <c r="B169" s="6" t="n"/>
      <c r="C169" s="6" t="n"/>
      <c r="D169" s="7" t="n"/>
      <c r="E169" s="8">
        <f>IF($C169="","",IFERROR(VLOOKUP($C169,'4. Produtos'!$A$6:$E$25,3,FALSE),0))</f>
        <v/>
      </c>
      <c r="F169" s="8" t="n"/>
      <c r="G169" s="9" t="n"/>
      <c r="H169" s="9" t="n"/>
      <c r="I169" s="9" t="n"/>
      <c r="J169" s="6" t="n"/>
      <c r="K169" s="10">
        <f>IF(OR($C169="",$D169=""),"",$D169*$E169-N($F169))</f>
        <v/>
      </c>
      <c r="L169" s="11">
        <f>IF(OR($C169="",$D169=""),"",$D169*IFERROR(VLOOKUP($C169,'4. Produtos'!$A$6:$E$25,2,FALSE),0))</f>
        <v/>
      </c>
      <c r="M169" s="10">
        <f>IF(OR($C169="",$D169=""),"",$K169-$L169)</f>
        <v/>
      </c>
      <c r="N169" s="12">
        <f>IF($A169="","",EOMONTH($A169,0))</f>
        <v/>
      </c>
    </row>
    <row r="170">
      <c r="A170" s="5" t="n"/>
      <c r="B170" s="6" t="n"/>
      <c r="C170" s="6" t="n"/>
      <c r="D170" s="7" t="n"/>
      <c r="E170" s="8">
        <f>IF($C170="","",IFERROR(VLOOKUP($C170,'4. Produtos'!$A$6:$E$25,3,FALSE),0))</f>
        <v/>
      </c>
      <c r="F170" s="8" t="n"/>
      <c r="G170" s="9" t="n"/>
      <c r="H170" s="9" t="n"/>
      <c r="I170" s="9" t="n"/>
      <c r="J170" s="6" t="n"/>
      <c r="K170" s="10">
        <f>IF(OR($C170="",$D170=""),"",$D170*$E170-N($F170))</f>
        <v/>
      </c>
      <c r="L170" s="11">
        <f>IF(OR($C170="",$D170=""),"",$D170*IFERROR(VLOOKUP($C170,'4. Produtos'!$A$6:$E$25,2,FALSE),0))</f>
        <v/>
      </c>
      <c r="M170" s="10">
        <f>IF(OR($C170="",$D170=""),"",$K170-$L170)</f>
        <v/>
      </c>
      <c r="N170" s="12">
        <f>IF($A170="","",EOMONTH($A170,0))</f>
        <v/>
      </c>
    </row>
    <row r="171">
      <c r="A171" s="5" t="n"/>
      <c r="B171" s="6" t="n"/>
      <c r="C171" s="6" t="n"/>
      <c r="D171" s="7" t="n"/>
      <c r="E171" s="8">
        <f>IF($C171="","",IFERROR(VLOOKUP($C171,'4. Produtos'!$A$6:$E$25,3,FALSE),0))</f>
        <v/>
      </c>
      <c r="F171" s="8" t="n"/>
      <c r="G171" s="9" t="n"/>
      <c r="H171" s="9" t="n"/>
      <c r="I171" s="9" t="n"/>
      <c r="J171" s="6" t="n"/>
      <c r="K171" s="10">
        <f>IF(OR($C171="",$D171=""),"",$D171*$E171-N($F171))</f>
        <v/>
      </c>
      <c r="L171" s="11">
        <f>IF(OR($C171="",$D171=""),"",$D171*IFERROR(VLOOKUP($C171,'4. Produtos'!$A$6:$E$25,2,FALSE),0))</f>
        <v/>
      </c>
      <c r="M171" s="10">
        <f>IF(OR($C171="",$D171=""),"",$K171-$L171)</f>
        <v/>
      </c>
      <c r="N171" s="12">
        <f>IF($A171="","",EOMONTH($A171,0))</f>
        <v/>
      </c>
    </row>
    <row r="172">
      <c r="A172" s="5" t="n"/>
      <c r="B172" s="6" t="n"/>
      <c r="C172" s="6" t="n"/>
      <c r="D172" s="7" t="n"/>
      <c r="E172" s="8">
        <f>IF($C172="","",IFERROR(VLOOKUP($C172,'4. Produtos'!$A$6:$E$25,3,FALSE),0))</f>
        <v/>
      </c>
      <c r="F172" s="8" t="n"/>
      <c r="G172" s="9" t="n"/>
      <c r="H172" s="9" t="n"/>
      <c r="I172" s="9" t="n"/>
      <c r="J172" s="6" t="n"/>
      <c r="K172" s="10">
        <f>IF(OR($C172="",$D172=""),"",$D172*$E172-N($F172))</f>
        <v/>
      </c>
      <c r="L172" s="11">
        <f>IF(OR($C172="",$D172=""),"",$D172*IFERROR(VLOOKUP($C172,'4. Produtos'!$A$6:$E$25,2,FALSE),0))</f>
        <v/>
      </c>
      <c r="M172" s="10">
        <f>IF(OR($C172="",$D172=""),"",$K172-$L172)</f>
        <v/>
      </c>
      <c r="N172" s="12">
        <f>IF($A172="","",EOMONTH($A172,0))</f>
        <v/>
      </c>
    </row>
    <row r="173">
      <c r="A173" s="5" t="n"/>
      <c r="B173" s="6" t="n"/>
      <c r="C173" s="6" t="n"/>
      <c r="D173" s="7" t="n"/>
      <c r="E173" s="8">
        <f>IF($C173="","",IFERROR(VLOOKUP($C173,'4. Produtos'!$A$6:$E$25,3,FALSE),0))</f>
        <v/>
      </c>
      <c r="F173" s="8" t="n"/>
      <c r="G173" s="9" t="n"/>
      <c r="H173" s="9" t="n"/>
      <c r="I173" s="9" t="n"/>
      <c r="J173" s="6" t="n"/>
      <c r="K173" s="10">
        <f>IF(OR($C173="",$D173=""),"",$D173*$E173-N($F173))</f>
        <v/>
      </c>
      <c r="L173" s="11">
        <f>IF(OR($C173="",$D173=""),"",$D173*IFERROR(VLOOKUP($C173,'4. Produtos'!$A$6:$E$25,2,FALSE),0))</f>
        <v/>
      </c>
      <c r="M173" s="10">
        <f>IF(OR($C173="",$D173=""),"",$K173-$L173)</f>
        <v/>
      </c>
      <c r="N173" s="12">
        <f>IF($A173="","",EOMONTH($A173,0))</f>
        <v/>
      </c>
    </row>
    <row r="174">
      <c r="A174" s="5" t="n"/>
      <c r="B174" s="6" t="n"/>
      <c r="C174" s="6" t="n"/>
      <c r="D174" s="7" t="n"/>
      <c r="E174" s="8">
        <f>IF($C174="","",IFERROR(VLOOKUP($C174,'4. Produtos'!$A$6:$E$25,3,FALSE),0))</f>
        <v/>
      </c>
      <c r="F174" s="8" t="n"/>
      <c r="G174" s="9" t="n"/>
      <c r="H174" s="9" t="n"/>
      <c r="I174" s="9" t="n"/>
      <c r="J174" s="6" t="n"/>
      <c r="K174" s="10">
        <f>IF(OR($C174="",$D174=""),"",$D174*$E174-N($F174))</f>
        <v/>
      </c>
      <c r="L174" s="11">
        <f>IF(OR($C174="",$D174=""),"",$D174*IFERROR(VLOOKUP($C174,'4. Produtos'!$A$6:$E$25,2,FALSE),0))</f>
        <v/>
      </c>
      <c r="M174" s="10">
        <f>IF(OR($C174="",$D174=""),"",$K174-$L174)</f>
        <v/>
      </c>
      <c r="N174" s="12">
        <f>IF($A174="","",EOMONTH($A174,0))</f>
        <v/>
      </c>
    </row>
    <row r="175">
      <c r="A175" s="5" t="n"/>
      <c r="B175" s="6" t="n"/>
      <c r="C175" s="6" t="n"/>
      <c r="D175" s="7" t="n"/>
      <c r="E175" s="8">
        <f>IF($C175="","",IFERROR(VLOOKUP($C175,'4. Produtos'!$A$6:$E$25,3,FALSE),0))</f>
        <v/>
      </c>
      <c r="F175" s="8" t="n"/>
      <c r="G175" s="9" t="n"/>
      <c r="H175" s="9" t="n"/>
      <c r="I175" s="9" t="n"/>
      <c r="J175" s="6" t="n"/>
      <c r="K175" s="10">
        <f>IF(OR($C175="",$D175=""),"",$D175*$E175-N($F175))</f>
        <v/>
      </c>
      <c r="L175" s="11">
        <f>IF(OR($C175="",$D175=""),"",$D175*IFERROR(VLOOKUP($C175,'4. Produtos'!$A$6:$E$25,2,FALSE),0))</f>
        <v/>
      </c>
      <c r="M175" s="10">
        <f>IF(OR($C175="",$D175=""),"",$K175-$L175)</f>
        <v/>
      </c>
      <c r="N175" s="12">
        <f>IF($A175="","",EOMONTH($A175,0))</f>
        <v/>
      </c>
    </row>
    <row r="176">
      <c r="A176" s="5" t="n"/>
      <c r="B176" s="6" t="n"/>
      <c r="C176" s="6" t="n"/>
      <c r="D176" s="7" t="n"/>
      <c r="E176" s="8">
        <f>IF($C176="","",IFERROR(VLOOKUP($C176,'4. Produtos'!$A$6:$E$25,3,FALSE),0))</f>
        <v/>
      </c>
      <c r="F176" s="8" t="n"/>
      <c r="G176" s="9" t="n"/>
      <c r="H176" s="9" t="n"/>
      <c r="I176" s="9" t="n"/>
      <c r="J176" s="6" t="n"/>
      <c r="K176" s="10">
        <f>IF(OR($C176="",$D176=""),"",$D176*$E176-N($F176))</f>
        <v/>
      </c>
      <c r="L176" s="11">
        <f>IF(OR($C176="",$D176=""),"",$D176*IFERROR(VLOOKUP($C176,'4. Produtos'!$A$6:$E$25,2,FALSE),0))</f>
        <v/>
      </c>
      <c r="M176" s="10">
        <f>IF(OR($C176="",$D176=""),"",$K176-$L176)</f>
        <v/>
      </c>
      <c r="N176" s="12">
        <f>IF($A176="","",EOMONTH($A176,0))</f>
        <v/>
      </c>
    </row>
    <row r="177">
      <c r="A177" s="5" t="n"/>
      <c r="B177" s="6" t="n"/>
      <c r="C177" s="6" t="n"/>
      <c r="D177" s="7" t="n"/>
      <c r="E177" s="8">
        <f>IF($C177="","",IFERROR(VLOOKUP($C177,'4. Produtos'!$A$6:$E$25,3,FALSE),0))</f>
        <v/>
      </c>
      <c r="F177" s="8" t="n"/>
      <c r="G177" s="9" t="n"/>
      <c r="H177" s="9" t="n"/>
      <c r="I177" s="9" t="n"/>
      <c r="J177" s="6" t="n"/>
      <c r="K177" s="10">
        <f>IF(OR($C177="",$D177=""),"",$D177*$E177-N($F177))</f>
        <v/>
      </c>
      <c r="L177" s="11">
        <f>IF(OR($C177="",$D177=""),"",$D177*IFERROR(VLOOKUP($C177,'4. Produtos'!$A$6:$E$25,2,FALSE),0))</f>
        <v/>
      </c>
      <c r="M177" s="10">
        <f>IF(OR($C177="",$D177=""),"",$K177-$L177)</f>
        <v/>
      </c>
      <c r="N177" s="12">
        <f>IF($A177="","",EOMONTH($A177,0))</f>
        <v/>
      </c>
    </row>
    <row r="178">
      <c r="A178" s="5" t="n"/>
      <c r="B178" s="6" t="n"/>
      <c r="C178" s="6" t="n"/>
      <c r="D178" s="7" t="n"/>
      <c r="E178" s="8">
        <f>IF($C178="","",IFERROR(VLOOKUP($C178,'4. Produtos'!$A$6:$E$25,3,FALSE),0))</f>
        <v/>
      </c>
      <c r="F178" s="8" t="n"/>
      <c r="G178" s="9" t="n"/>
      <c r="H178" s="9" t="n"/>
      <c r="I178" s="9" t="n"/>
      <c r="J178" s="6" t="n"/>
      <c r="K178" s="10">
        <f>IF(OR($C178="",$D178=""),"",$D178*$E178-N($F178))</f>
        <v/>
      </c>
      <c r="L178" s="11">
        <f>IF(OR($C178="",$D178=""),"",$D178*IFERROR(VLOOKUP($C178,'4. Produtos'!$A$6:$E$25,2,FALSE),0))</f>
        <v/>
      </c>
      <c r="M178" s="10">
        <f>IF(OR($C178="",$D178=""),"",$K178-$L178)</f>
        <v/>
      </c>
      <c r="N178" s="12">
        <f>IF($A178="","",EOMONTH($A178,0))</f>
        <v/>
      </c>
    </row>
    <row r="179">
      <c r="A179" s="5" t="n"/>
      <c r="B179" s="6" t="n"/>
      <c r="C179" s="6" t="n"/>
      <c r="D179" s="7" t="n"/>
      <c r="E179" s="8">
        <f>IF($C179="","",IFERROR(VLOOKUP($C179,'4. Produtos'!$A$6:$E$25,3,FALSE),0))</f>
        <v/>
      </c>
      <c r="F179" s="8" t="n"/>
      <c r="G179" s="9" t="n"/>
      <c r="H179" s="9" t="n"/>
      <c r="I179" s="9" t="n"/>
      <c r="J179" s="6" t="n"/>
      <c r="K179" s="10">
        <f>IF(OR($C179="",$D179=""),"",$D179*$E179-N($F179))</f>
        <v/>
      </c>
      <c r="L179" s="11">
        <f>IF(OR($C179="",$D179=""),"",$D179*IFERROR(VLOOKUP($C179,'4. Produtos'!$A$6:$E$25,2,FALSE),0))</f>
        <v/>
      </c>
      <c r="M179" s="10">
        <f>IF(OR($C179="",$D179=""),"",$K179-$L179)</f>
        <v/>
      </c>
      <c r="N179" s="12">
        <f>IF($A179="","",EOMONTH($A179,0))</f>
        <v/>
      </c>
    </row>
    <row r="180">
      <c r="A180" s="5" t="n"/>
      <c r="B180" s="6" t="n"/>
      <c r="C180" s="6" t="n"/>
      <c r="D180" s="7" t="n"/>
      <c r="E180" s="8">
        <f>IF($C180="","",IFERROR(VLOOKUP($C180,'4. Produtos'!$A$6:$E$25,3,FALSE),0))</f>
        <v/>
      </c>
      <c r="F180" s="8" t="n"/>
      <c r="G180" s="9" t="n"/>
      <c r="H180" s="9" t="n"/>
      <c r="I180" s="9" t="n"/>
      <c r="J180" s="6" t="n"/>
      <c r="K180" s="10">
        <f>IF(OR($C180="",$D180=""),"",$D180*$E180-N($F180))</f>
        <v/>
      </c>
      <c r="L180" s="11">
        <f>IF(OR($C180="",$D180=""),"",$D180*IFERROR(VLOOKUP($C180,'4. Produtos'!$A$6:$E$25,2,FALSE),0))</f>
        <v/>
      </c>
      <c r="M180" s="10">
        <f>IF(OR($C180="",$D180=""),"",$K180-$L180)</f>
        <v/>
      </c>
      <c r="N180" s="12">
        <f>IF($A180="","",EOMONTH($A180,0))</f>
        <v/>
      </c>
    </row>
    <row r="181">
      <c r="A181" s="5" t="n"/>
      <c r="B181" s="6" t="n"/>
      <c r="C181" s="6" t="n"/>
      <c r="D181" s="7" t="n"/>
      <c r="E181" s="8">
        <f>IF($C181="","",IFERROR(VLOOKUP($C181,'4. Produtos'!$A$6:$E$25,3,FALSE),0))</f>
        <v/>
      </c>
      <c r="F181" s="8" t="n"/>
      <c r="G181" s="9" t="n"/>
      <c r="H181" s="9" t="n"/>
      <c r="I181" s="9" t="n"/>
      <c r="J181" s="6" t="n"/>
      <c r="K181" s="10">
        <f>IF(OR($C181="",$D181=""),"",$D181*$E181-N($F181))</f>
        <v/>
      </c>
      <c r="L181" s="11">
        <f>IF(OR($C181="",$D181=""),"",$D181*IFERROR(VLOOKUP($C181,'4. Produtos'!$A$6:$E$25,2,FALSE),0))</f>
        <v/>
      </c>
      <c r="M181" s="10">
        <f>IF(OR($C181="",$D181=""),"",$K181-$L181)</f>
        <v/>
      </c>
      <c r="N181" s="12">
        <f>IF($A181="","",EOMONTH($A181,0))</f>
        <v/>
      </c>
    </row>
    <row r="182">
      <c r="A182" s="5" t="n"/>
      <c r="B182" s="6" t="n"/>
      <c r="C182" s="6" t="n"/>
      <c r="D182" s="7" t="n"/>
      <c r="E182" s="8">
        <f>IF($C182="","",IFERROR(VLOOKUP($C182,'4. Produtos'!$A$6:$E$25,3,FALSE),0))</f>
        <v/>
      </c>
      <c r="F182" s="8" t="n"/>
      <c r="G182" s="9" t="n"/>
      <c r="H182" s="9" t="n"/>
      <c r="I182" s="9" t="n"/>
      <c r="J182" s="6" t="n"/>
      <c r="K182" s="10">
        <f>IF(OR($C182="",$D182=""),"",$D182*$E182-N($F182))</f>
        <v/>
      </c>
      <c r="L182" s="11">
        <f>IF(OR($C182="",$D182=""),"",$D182*IFERROR(VLOOKUP($C182,'4. Produtos'!$A$6:$E$25,2,FALSE),0))</f>
        <v/>
      </c>
      <c r="M182" s="10">
        <f>IF(OR($C182="",$D182=""),"",$K182-$L182)</f>
        <v/>
      </c>
      <c r="N182" s="12">
        <f>IF($A182="","",EOMONTH($A182,0))</f>
        <v/>
      </c>
    </row>
    <row r="183">
      <c r="A183" s="5" t="n"/>
      <c r="B183" s="6" t="n"/>
      <c r="C183" s="6" t="n"/>
      <c r="D183" s="7" t="n"/>
      <c r="E183" s="8">
        <f>IF($C183="","",IFERROR(VLOOKUP($C183,'4. Produtos'!$A$6:$E$25,3,FALSE),0))</f>
        <v/>
      </c>
      <c r="F183" s="8" t="n"/>
      <c r="G183" s="9" t="n"/>
      <c r="H183" s="9" t="n"/>
      <c r="I183" s="9" t="n"/>
      <c r="J183" s="6" t="n"/>
      <c r="K183" s="10">
        <f>IF(OR($C183="",$D183=""),"",$D183*$E183-N($F183))</f>
        <v/>
      </c>
      <c r="L183" s="11">
        <f>IF(OR($C183="",$D183=""),"",$D183*IFERROR(VLOOKUP($C183,'4. Produtos'!$A$6:$E$25,2,FALSE),0))</f>
        <v/>
      </c>
      <c r="M183" s="10">
        <f>IF(OR($C183="",$D183=""),"",$K183-$L183)</f>
        <v/>
      </c>
      <c r="N183" s="12">
        <f>IF($A183="","",EOMONTH($A183,0))</f>
        <v/>
      </c>
    </row>
    <row r="184">
      <c r="A184" s="5" t="n"/>
      <c r="B184" s="6" t="n"/>
      <c r="C184" s="6" t="n"/>
      <c r="D184" s="7" t="n"/>
      <c r="E184" s="8">
        <f>IF($C184="","",IFERROR(VLOOKUP($C184,'4. Produtos'!$A$6:$E$25,3,FALSE),0))</f>
        <v/>
      </c>
      <c r="F184" s="8" t="n"/>
      <c r="G184" s="9" t="n"/>
      <c r="H184" s="9" t="n"/>
      <c r="I184" s="9" t="n"/>
      <c r="J184" s="6" t="n"/>
      <c r="K184" s="10">
        <f>IF(OR($C184="",$D184=""),"",$D184*$E184-N($F184))</f>
        <v/>
      </c>
      <c r="L184" s="11">
        <f>IF(OR($C184="",$D184=""),"",$D184*IFERROR(VLOOKUP($C184,'4. Produtos'!$A$6:$E$25,2,FALSE),0))</f>
        <v/>
      </c>
      <c r="M184" s="10">
        <f>IF(OR($C184="",$D184=""),"",$K184-$L184)</f>
        <v/>
      </c>
      <c r="N184" s="12">
        <f>IF($A184="","",EOMONTH($A184,0))</f>
        <v/>
      </c>
    </row>
    <row r="185">
      <c r="A185" s="5" t="n"/>
      <c r="B185" s="6" t="n"/>
      <c r="C185" s="6" t="n"/>
      <c r="D185" s="7" t="n"/>
      <c r="E185" s="8">
        <f>IF($C185="","",IFERROR(VLOOKUP($C185,'4. Produtos'!$A$6:$E$25,3,FALSE),0))</f>
        <v/>
      </c>
      <c r="F185" s="8" t="n"/>
      <c r="G185" s="9" t="n"/>
      <c r="H185" s="9" t="n"/>
      <c r="I185" s="9" t="n"/>
      <c r="J185" s="6" t="n"/>
      <c r="K185" s="10">
        <f>IF(OR($C185="",$D185=""),"",$D185*$E185-N($F185))</f>
        <v/>
      </c>
      <c r="L185" s="11">
        <f>IF(OR($C185="",$D185=""),"",$D185*IFERROR(VLOOKUP($C185,'4. Produtos'!$A$6:$E$25,2,FALSE),0))</f>
        <v/>
      </c>
      <c r="M185" s="10">
        <f>IF(OR($C185="",$D185=""),"",$K185-$L185)</f>
        <v/>
      </c>
      <c r="N185" s="12">
        <f>IF($A185="","",EOMONTH($A185,0))</f>
        <v/>
      </c>
    </row>
    <row r="186">
      <c r="A186" s="5" t="n"/>
      <c r="B186" s="6" t="n"/>
      <c r="C186" s="6" t="n"/>
      <c r="D186" s="7" t="n"/>
      <c r="E186" s="8">
        <f>IF($C186="","",IFERROR(VLOOKUP($C186,'4. Produtos'!$A$6:$E$25,3,FALSE),0))</f>
        <v/>
      </c>
      <c r="F186" s="8" t="n"/>
      <c r="G186" s="9" t="n"/>
      <c r="H186" s="9" t="n"/>
      <c r="I186" s="9" t="n"/>
      <c r="J186" s="6" t="n"/>
      <c r="K186" s="10">
        <f>IF(OR($C186="",$D186=""),"",$D186*$E186-N($F186))</f>
        <v/>
      </c>
      <c r="L186" s="11">
        <f>IF(OR($C186="",$D186=""),"",$D186*IFERROR(VLOOKUP($C186,'4. Produtos'!$A$6:$E$25,2,FALSE),0))</f>
        <v/>
      </c>
      <c r="M186" s="10">
        <f>IF(OR($C186="",$D186=""),"",$K186-$L186)</f>
        <v/>
      </c>
      <c r="N186" s="12">
        <f>IF($A186="","",EOMONTH($A186,0))</f>
        <v/>
      </c>
    </row>
    <row r="187">
      <c r="A187" s="5" t="n"/>
      <c r="B187" s="6" t="n"/>
      <c r="C187" s="6" t="n"/>
      <c r="D187" s="7" t="n"/>
      <c r="E187" s="8">
        <f>IF($C187="","",IFERROR(VLOOKUP($C187,'4. Produtos'!$A$6:$E$25,3,FALSE),0))</f>
        <v/>
      </c>
      <c r="F187" s="8" t="n"/>
      <c r="G187" s="9" t="n"/>
      <c r="H187" s="9" t="n"/>
      <c r="I187" s="9" t="n"/>
      <c r="J187" s="6" t="n"/>
      <c r="K187" s="10">
        <f>IF(OR($C187="",$D187=""),"",$D187*$E187-N($F187))</f>
        <v/>
      </c>
      <c r="L187" s="11">
        <f>IF(OR($C187="",$D187=""),"",$D187*IFERROR(VLOOKUP($C187,'4. Produtos'!$A$6:$E$25,2,FALSE),0))</f>
        <v/>
      </c>
      <c r="M187" s="10">
        <f>IF(OR($C187="",$D187=""),"",$K187-$L187)</f>
        <v/>
      </c>
      <c r="N187" s="12">
        <f>IF($A187="","",EOMONTH($A187,0))</f>
        <v/>
      </c>
    </row>
    <row r="188">
      <c r="A188" s="5" t="n"/>
      <c r="B188" s="6" t="n"/>
      <c r="C188" s="6" t="n"/>
      <c r="D188" s="7" t="n"/>
      <c r="E188" s="8">
        <f>IF($C188="","",IFERROR(VLOOKUP($C188,'4. Produtos'!$A$6:$E$25,3,FALSE),0))</f>
        <v/>
      </c>
      <c r="F188" s="8" t="n"/>
      <c r="G188" s="9" t="n"/>
      <c r="H188" s="9" t="n"/>
      <c r="I188" s="9" t="n"/>
      <c r="J188" s="6" t="n"/>
      <c r="K188" s="10">
        <f>IF(OR($C188="",$D188=""),"",$D188*$E188-N($F188))</f>
        <v/>
      </c>
      <c r="L188" s="11">
        <f>IF(OR($C188="",$D188=""),"",$D188*IFERROR(VLOOKUP($C188,'4. Produtos'!$A$6:$E$25,2,FALSE),0))</f>
        <v/>
      </c>
      <c r="M188" s="10">
        <f>IF(OR($C188="",$D188=""),"",$K188-$L188)</f>
        <v/>
      </c>
      <c r="N188" s="12">
        <f>IF($A188="","",EOMONTH($A188,0))</f>
        <v/>
      </c>
    </row>
    <row r="189">
      <c r="A189" s="5" t="n"/>
      <c r="B189" s="6" t="n"/>
      <c r="C189" s="6" t="n"/>
      <c r="D189" s="7" t="n"/>
      <c r="E189" s="8">
        <f>IF($C189="","",IFERROR(VLOOKUP($C189,'4. Produtos'!$A$6:$E$25,3,FALSE),0))</f>
        <v/>
      </c>
      <c r="F189" s="8" t="n"/>
      <c r="G189" s="9" t="n"/>
      <c r="H189" s="9" t="n"/>
      <c r="I189" s="9" t="n"/>
      <c r="J189" s="6" t="n"/>
      <c r="K189" s="10">
        <f>IF(OR($C189="",$D189=""),"",$D189*$E189-N($F189))</f>
        <v/>
      </c>
      <c r="L189" s="11">
        <f>IF(OR($C189="",$D189=""),"",$D189*IFERROR(VLOOKUP($C189,'4. Produtos'!$A$6:$E$25,2,FALSE),0))</f>
        <v/>
      </c>
      <c r="M189" s="10">
        <f>IF(OR($C189="",$D189=""),"",$K189-$L189)</f>
        <v/>
      </c>
      <c r="N189" s="12">
        <f>IF($A189="","",EOMONTH($A189,0))</f>
        <v/>
      </c>
    </row>
    <row r="190">
      <c r="A190" s="5" t="n"/>
      <c r="B190" s="6" t="n"/>
      <c r="C190" s="6" t="n"/>
      <c r="D190" s="7" t="n"/>
      <c r="E190" s="8">
        <f>IF($C190="","",IFERROR(VLOOKUP($C190,'4. Produtos'!$A$6:$E$25,3,FALSE),0))</f>
        <v/>
      </c>
      <c r="F190" s="8" t="n"/>
      <c r="G190" s="9" t="n"/>
      <c r="H190" s="9" t="n"/>
      <c r="I190" s="9" t="n"/>
      <c r="J190" s="6" t="n"/>
      <c r="K190" s="10">
        <f>IF(OR($C190="",$D190=""),"",$D190*$E190-N($F190))</f>
        <v/>
      </c>
      <c r="L190" s="11">
        <f>IF(OR($C190="",$D190=""),"",$D190*IFERROR(VLOOKUP($C190,'4. Produtos'!$A$6:$E$25,2,FALSE),0))</f>
        <v/>
      </c>
      <c r="M190" s="10">
        <f>IF(OR($C190="",$D190=""),"",$K190-$L190)</f>
        <v/>
      </c>
      <c r="N190" s="12">
        <f>IF($A190="","",EOMONTH($A190,0))</f>
        <v/>
      </c>
    </row>
    <row r="191">
      <c r="A191" s="5" t="n"/>
      <c r="B191" s="6" t="n"/>
      <c r="C191" s="6" t="n"/>
      <c r="D191" s="7" t="n"/>
      <c r="E191" s="8">
        <f>IF($C191="","",IFERROR(VLOOKUP($C191,'4. Produtos'!$A$6:$E$25,3,FALSE),0))</f>
        <v/>
      </c>
      <c r="F191" s="8" t="n"/>
      <c r="G191" s="9" t="n"/>
      <c r="H191" s="9" t="n"/>
      <c r="I191" s="9" t="n"/>
      <c r="J191" s="6" t="n"/>
      <c r="K191" s="10">
        <f>IF(OR($C191="",$D191=""),"",$D191*$E191-N($F191))</f>
        <v/>
      </c>
      <c r="L191" s="11">
        <f>IF(OR($C191="",$D191=""),"",$D191*IFERROR(VLOOKUP($C191,'4. Produtos'!$A$6:$E$25,2,FALSE),0))</f>
        <v/>
      </c>
      <c r="M191" s="10">
        <f>IF(OR($C191="",$D191=""),"",$K191-$L191)</f>
        <v/>
      </c>
      <c r="N191" s="12">
        <f>IF($A191="","",EOMONTH($A191,0))</f>
        <v/>
      </c>
    </row>
    <row r="192">
      <c r="A192" s="5" t="n"/>
      <c r="B192" s="6" t="n"/>
      <c r="C192" s="6" t="n"/>
      <c r="D192" s="7" t="n"/>
      <c r="E192" s="8">
        <f>IF($C192="","",IFERROR(VLOOKUP($C192,'4. Produtos'!$A$6:$E$25,3,FALSE),0))</f>
        <v/>
      </c>
      <c r="F192" s="8" t="n"/>
      <c r="G192" s="9" t="n"/>
      <c r="H192" s="9" t="n"/>
      <c r="I192" s="9" t="n"/>
      <c r="J192" s="6" t="n"/>
      <c r="K192" s="10">
        <f>IF(OR($C192="",$D192=""),"",$D192*$E192-N($F192))</f>
        <v/>
      </c>
      <c r="L192" s="11">
        <f>IF(OR($C192="",$D192=""),"",$D192*IFERROR(VLOOKUP($C192,'4. Produtos'!$A$6:$E$25,2,FALSE),0))</f>
        <v/>
      </c>
      <c r="M192" s="10">
        <f>IF(OR($C192="",$D192=""),"",$K192-$L192)</f>
        <v/>
      </c>
      <c r="N192" s="12">
        <f>IF($A192="","",EOMONTH($A192,0))</f>
        <v/>
      </c>
    </row>
    <row r="193">
      <c r="A193" s="5" t="n"/>
      <c r="B193" s="6" t="n"/>
      <c r="C193" s="6" t="n"/>
      <c r="D193" s="7" t="n"/>
      <c r="E193" s="8">
        <f>IF($C193="","",IFERROR(VLOOKUP($C193,'4. Produtos'!$A$6:$E$25,3,FALSE),0))</f>
        <v/>
      </c>
      <c r="F193" s="8" t="n"/>
      <c r="G193" s="9" t="n"/>
      <c r="H193" s="9" t="n"/>
      <c r="I193" s="9" t="n"/>
      <c r="J193" s="6" t="n"/>
      <c r="K193" s="10">
        <f>IF(OR($C193="",$D193=""),"",$D193*$E193-N($F193))</f>
        <v/>
      </c>
      <c r="L193" s="11">
        <f>IF(OR($C193="",$D193=""),"",$D193*IFERROR(VLOOKUP($C193,'4. Produtos'!$A$6:$E$25,2,FALSE),0))</f>
        <v/>
      </c>
      <c r="M193" s="10">
        <f>IF(OR($C193="",$D193=""),"",$K193-$L193)</f>
        <v/>
      </c>
      <c r="N193" s="12">
        <f>IF($A193="","",EOMONTH($A193,0))</f>
        <v/>
      </c>
    </row>
    <row r="194">
      <c r="A194" s="5" t="n"/>
      <c r="B194" s="6" t="n"/>
      <c r="C194" s="6" t="n"/>
      <c r="D194" s="7" t="n"/>
      <c r="E194" s="8">
        <f>IF($C194="","",IFERROR(VLOOKUP($C194,'4. Produtos'!$A$6:$E$25,3,FALSE),0))</f>
        <v/>
      </c>
      <c r="F194" s="8" t="n"/>
      <c r="G194" s="9" t="n"/>
      <c r="H194" s="9" t="n"/>
      <c r="I194" s="9" t="n"/>
      <c r="J194" s="6" t="n"/>
      <c r="K194" s="10">
        <f>IF(OR($C194="",$D194=""),"",$D194*$E194-N($F194))</f>
        <v/>
      </c>
      <c r="L194" s="11">
        <f>IF(OR($C194="",$D194=""),"",$D194*IFERROR(VLOOKUP($C194,'4. Produtos'!$A$6:$E$25,2,FALSE),0))</f>
        <v/>
      </c>
      <c r="M194" s="10">
        <f>IF(OR($C194="",$D194=""),"",$K194-$L194)</f>
        <v/>
      </c>
      <c r="N194" s="12">
        <f>IF($A194="","",EOMONTH($A194,0))</f>
        <v/>
      </c>
    </row>
    <row r="195">
      <c r="A195" s="5" t="n"/>
      <c r="B195" s="6" t="n"/>
      <c r="C195" s="6" t="n"/>
      <c r="D195" s="7" t="n"/>
      <c r="E195" s="8">
        <f>IF($C195="","",IFERROR(VLOOKUP($C195,'4. Produtos'!$A$6:$E$25,3,FALSE),0))</f>
        <v/>
      </c>
      <c r="F195" s="8" t="n"/>
      <c r="G195" s="9" t="n"/>
      <c r="H195" s="9" t="n"/>
      <c r="I195" s="9" t="n"/>
      <c r="J195" s="6" t="n"/>
      <c r="K195" s="10">
        <f>IF(OR($C195="",$D195=""),"",$D195*$E195-N($F195))</f>
        <v/>
      </c>
      <c r="L195" s="11">
        <f>IF(OR($C195="",$D195=""),"",$D195*IFERROR(VLOOKUP($C195,'4. Produtos'!$A$6:$E$25,2,FALSE),0))</f>
        <v/>
      </c>
      <c r="M195" s="10">
        <f>IF(OR($C195="",$D195=""),"",$K195-$L195)</f>
        <v/>
      </c>
      <c r="N195" s="12">
        <f>IF($A195="","",EOMONTH($A195,0))</f>
        <v/>
      </c>
    </row>
    <row r="196">
      <c r="A196" s="5" t="n"/>
      <c r="B196" s="6" t="n"/>
      <c r="C196" s="6" t="n"/>
      <c r="D196" s="7" t="n"/>
      <c r="E196" s="8">
        <f>IF($C196="","",IFERROR(VLOOKUP($C196,'4. Produtos'!$A$6:$E$25,3,FALSE),0))</f>
        <v/>
      </c>
      <c r="F196" s="8" t="n"/>
      <c r="G196" s="9" t="n"/>
      <c r="H196" s="9" t="n"/>
      <c r="I196" s="9" t="n"/>
      <c r="J196" s="6" t="n"/>
      <c r="K196" s="10">
        <f>IF(OR($C196="",$D196=""),"",$D196*$E196-N($F196))</f>
        <v/>
      </c>
      <c r="L196" s="11">
        <f>IF(OR($C196="",$D196=""),"",$D196*IFERROR(VLOOKUP($C196,'4. Produtos'!$A$6:$E$25,2,FALSE),0))</f>
        <v/>
      </c>
      <c r="M196" s="10">
        <f>IF(OR($C196="",$D196=""),"",$K196-$L196)</f>
        <v/>
      </c>
      <c r="N196" s="12">
        <f>IF($A196="","",EOMONTH($A196,0))</f>
        <v/>
      </c>
    </row>
    <row r="197">
      <c r="A197" s="5" t="n"/>
      <c r="B197" s="6" t="n"/>
      <c r="C197" s="6" t="n"/>
      <c r="D197" s="7" t="n"/>
      <c r="E197" s="8">
        <f>IF($C197="","",IFERROR(VLOOKUP($C197,'4. Produtos'!$A$6:$E$25,3,FALSE),0))</f>
        <v/>
      </c>
      <c r="F197" s="8" t="n"/>
      <c r="G197" s="9" t="n"/>
      <c r="H197" s="9" t="n"/>
      <c r="I197" s="9" t="n"/>
      <c r="J197" s="6" t="n"/>
      <c r="K197" s="10">
        <f>IF(OR($C197="",$D197=""),"",$D197*$E197-N($F197))</f>
        <v/>
      </c>
      <c r="L197" s="11">
        <f>IF(OR($C197="",$D197=""),"",$D197*IFERROR(VLOOKUP($C197,'4. Produtos'!$A$6:$E$25,2,FALSE),0))</f>
        <v/>
      </c>
      <c r="M197" s="10">
        <f>IF(OR($C197="",$D197=""),"",$K197-$L197)</f>
        <v/>
      </c>
      <c r="N197" s="12">
        <f>IF($A197="","",EOMONTH($A197,0))</f>
        <v/>
      </c>
    </row>
    <row r="198">
      <c r="A198" s="5" t="n"/>
      <c r="B198" s="6" t="n"/>
      <c r="C198" s="6" t="n"/>
      <c r="D198" s="7" t="n"/>
      <c r="E198" s="8">
        <f>IF($C198="","",IFERROR(VLOOKUP($C198,'4. Produtos'!$A$6:$E$25,3,FALSE),0))</f>
        <v/>
      </c>
      <c r="F198" s="8" t="n"/>
      <c r="G198" s="9" t="n"/>
      <c r="H198" s="9" t="n"/>
      <c r="I198" s="9" t="n"/>
      <c r="J198" s="6" t="n"/>
      <c r="K198" s="10">
        <f>IF(OR($C198="",$D198=""),"",$D198*$E198-N($F198))</f>
        <v/>
      </c>
      <c r="L198" s="11">
        <f>IF(OR($C198="",$D198=""),"",$D198*IFERROR(VLOOKUP($C198,'4. Produtos'!$A$6:$E$25,2,FALSE),0))</f>
        <v/>
      </c>
      <c r="M198" s="10">
        <f>IF(OR($C198="",$D198=""),"",$K198-$L198)</f>
        <v/>
      </c>
      <c r="N198" s="12">
        <f>IF($A198="","",EOMONTH($A198,0))</f>
        <v/>
      </c>
    </row>
    <row r="199">
      <c r="A199" s="5" t="n"/>
      <c r="B199" s="6" t="n"/>
      <c r="C199" s="6" t="n"/>
      <c r="D199" s="7" t="n"/>
      <c r="E199" s="8">
        <f>IF($C199="","",IFERROR(VLOOKUP($C199,'4. Produtos'!$A$6:$E$25,3,FALSE),0))</f>
        <v/>
      </c>
      <c r="F199" s="8" t="n"/>
      <c r="G199" s="9" t="n"/>
      <c r="H199" s="9" t="n"/>
      <c r="I199" s="9" t="n"/>
      <c r="J199" s="6" t="n"/>
      <c r="K199" s="10">
        <f>IF(OR($C199="",$D199=""),"",$D199*$E199-N($F199))</f>
        <v/>
      </c>
      <c r="L199" s="11">
        <f>IF(OR($C199="",$D199=""),"",$D199*IFERROR(VLOOKUP($C199,'4. Produtos'!$A$6:$E$25,2,FALSE),0))</f>
        <v/>
      </c>
      <c r="M199" s="10">
        <f>IF(OR($C199="",$D199=""),"",$K199-$L199)</f>
        <v/>
      </c>
      <c r="N199" s="12">
        <f>IF($A199="","",EOMONTH($A199,0))</f>
        <v/>
      </c>
    </row>
    <row r="200">
      <c r="A200" s="5" t="n"/>
      <c r="B200" s="6" t="n"/>
      <c r="C200" s="6" t="n"/>
      <c r="D200" s="7" t="n"/>
      <c r="E200" s="8">
        <f>IF($C200="","",IFERROR(VLOOKUP($C200,'4. Produtos'!$A$6:$E$25,3,FALSE),0))</f>
        <v/>
      </c>
      <c r="F200" s="8" t="n"/>
      <c r="G200" s="9" t="n"/>
      <c r="H200" s="9" t="n"/>
      <c r="I200" s="9" t="n"/>
      <c r="J200" s="6" t="n"/>
      <c r="K200" s="10">
        <f>IF(OR($C200="",$D200=""),"",$D200*$E200-N($F200))</f>
        <v/>
      </c>
      <c r="L200" s="11">
        <f>IF(OR($C200="",$D200=""),"",$D200*IFERROR(VLOOKUP($C200,'4. Produtos'!$A$6:$E$25,2,FALSE),0))</f>
        <v/>
      </c>
      <c r="M200" s="10">
        <f>IF(OR($C200="",$D200=""),"",$K200-$L200)</f>
        <v/>
      </c>
      <c r="N200" s="12">
        <f>IF($A200="","",EOMONTH($A200,0))</f>
        <v/>
      </c>
    </row>
    <row r="201">
      <c r="A201" s="5" t="n"/>
      <c r="B201" s="6" t="n"/>
      <c r="C201" s="6" t="n"/>
      <c r="D201" s="7" t="n"/>
      <c r="E201" s="8">
        <f>IF($C201="","",IFERROR(VLOOKUP($C201,'4. Produtos'!$A$6:$E$25,3,FALSE),0))</f>
        <v/>
      </c>
      <c r="F201" s="8" t="n"/>
      <c r="G201" s="9" t="n"/>
      <c r="H201" s="9" t="n"/>
      <c r="I201" s="9" t="n"/>
      <c r="J201" s="6" t="n"/>
      <c r="K201" s="10">
        <f>IF(OR($C201="",$D201=""),"",$D201*$E201-N($F201))</f>
        <v/>
      </c>
      <c r="L201" s="11">
        <f>IF(OR($C201="",$D201=""),"",$D201*IFERROR(VLOOKUP($C201,'4. Produtos'!$A$6:$E$25,2,FALSE),0))</f>
        <v/>
      </c>
      <c r="M201" s="10">
        <f>IF(OR($C201="",$D201=""),"",$K201-$L201)</f>
        <v/>
      </c>
      <c r="N201" s="12">
        <f>IF($A201="","",EOMONTH($A201,0))</f>
        <v/>
      </c>
    </row>
    <row r="202">
      <c r="A202" s="5" t="n"/>
      <c r="B202" s="6" t="n"/>
      <c r="C202" s="6" t="n"/>
      <c r="D202" s="7" t="n"/>
      <c r="E202" s="8">
        <f>IF($C202="","",IFERROR(VLOOKUP($C202,'4. Produtos'!$A$6:$E$25,3,FALSE),0))</f>
        <v/>
      </c>
      <c r="F202" s="8" t="n"/>
      <c r="G202" s="9" t="n"/>
      <c r="H202" s="9" t="n"/>
      <c r="I202" s="9" t="n"/>
      <c r="J202" s="6" t="n"/>
      <c r="K202" s="10">
        <f>IF(OR($C202="",$D202=""),"",$D202*$E202-N($F202))</f>
        <v/>
      </c>
      <c r="L202" s="11">
        <f>IF(OR($C202="",$D202=""),"",$D202*IFERROR(VLOOKUP($C202,'4. Produtos'!$A$6:$E$25,2,FALSE),0))</f>
        <v/>
      </c>
      <c r="M202" s="10">
        <f>IF(OR($C202="",$D202=""),"",$K202-$L202)</f>
        <v/>
      </c>
      <c r="N202" s="12">
        <f>IF($A202="","",EOMONTH($A202,0))</f>
        <v/>
      </c>
    </row>
    <row r="203">
      <c r="A203" s="5" t="n"/>
      <c r="B203" s="6" t="n"/>
      <c r="C203" s="6" t="n"/>
      <c r="D203" s="7" t="n"/>
      <c r="E203" s="8">
        <f>IF($C203="","",IFERROR(VLOOKUP($C203,'4. Produtos'!$A$6:$E$25,3,FALSE),0))</f>
        <v/>
      </c>
      <c r="F203" s="8" t="n"/>
      <c r="G203" s="9" t="n"/>
      <c r="H203" s="9" t="n"/>
      <c r="I203" s="9" t="n"/>
      <c r="J203" s="6" t="n"/>
      <c r="K203" s="10">
        <f>IF(OR($C203="",$D203=""),"",$D203*$E203-N($F203))</f>
        <v/>
      </c>
      <c r="L203" s="11">
        <f>IF(OR($C203="",$D203=""),"",$D203*IFERROR(VLOOKUP($C203,'4. Produtos'!$A$6:$E$25,2,FALSE),0))</f>
        <v/>
      </c>
      <c r="M203" s="10">
        <f>IF(OR($C203="",$D203=""),"",$K203-$L203)</f>
        <v/>
      </c>
      <c r="N203" s="12">
        <f>IF($A203="","",EOMONTH($A203,0))</f>
        <v/>
      </c>
    </row>
    <row r="204">
      <c r="A204" s="5" t="n"/>
      <c r="B204" s="6" t="n"/>
      <c r="C204" s="6" t="n"/>
      <c r="D204" s="7" t="n"/>
      <c r="E204" s="8">
        <f>IF($C204="","",IFERROR(VLOOKUP($C204,'4. Produtos'!$A$6:$E$25,3,FALSE),0))</f>
        <v/>
      </c>
      <c r="F204" s="8" t="n"/>
      <c r="G204" s="9" t="n"/>
      <c r="H204" s="9" t="n"/>
      <c r="I204" s="9" t="n"/>
      <c r="J204" s="6" t="n"/>
      <c r="K204" s="10">
        <f>IF(OR($C204="",$D204=""),"",$D204*$E204-N($F204))</f>
        <v/>
      </c>
      <c r="L204" s="11">
        <f>IF(OR($C204="",$D204=""),"",$D204*IFERROR(VLOOKUP($C204,'4. Produtos'!$A$6:$E$25,2,FALSE),0))</f>
        <v/>
      </c>
      <c r="M204" s="10">
        <f>IF(OR($C204="",$D204=""),"",$K204-$L204)</f>
        <v/>
      </c>
      <c r="N204" s="12">
        <f>IF($A204="","",EOMONTH($A204,0))</f>
        <v/>
      </c>
    </row>
    <row r="205">
      <c r="A205" s="5" t="n"/>
      <c r="B205" s="6" t="n"/>
      <c r="C205" s="6" t="n"/>
      <c r="D205" s="7" t="n"/>
      <c r="E205" s="8">
        <f>IF($C205="","",IFERROR(VLOOKUP($C205,'4. Produtos'!$A$6:$E$25,3,FALSE),0))</f>
        <v/>
      </c>
      <c r="F205" s="8" t="n"/>
      <c r="G205" s="9" t="n"/>
      <c r="H205" s="9" t="n"/>
      <c r="I205" s="9" t="n"/>
      <c r="J205" s="6" t="n"/>
      <c r="K205" s="10">
        <f>IF(OR($C205="",$D205=""),"",$D205*$E205-N($F205))</f>
        <v/>
      </c>
      <c r="L205" s="11">
        <f>IF(OR($C205="",$D205=""),"",$D205*IFERROR(VLOOKUP($C205,'4. Produtos'!$A$6:$E$25,2,FALSE),0))</f>
        <v/>
      </c>
      <c r="M205" s="10">
        <f>IF(OR($C205="",$D205=""),"",$K205-$L205)</f>
        <v/>
      </c>
      <c r="N205" s="12">
        <f>IF($A205="","",EOMONTH($A205,0))</f>
        <v/>
      </c>
    </row>
    <row r="206">
      <c r="A206" s="5" t="n"/>
      <c r="B206" s="6" t="n"/>
      <c r="C206" s="6" t="n"/>
      <c r="D206" s="7" t="n"/>
      <c r="E206" s="8">
        <f>IF($C206="","",IFERROR(VLOOKUP($C206,'4. Produtos'!$A$6:$E$25,3,FALSE),0))</f>
        <v/>
      </c>
      <c r="F206" s="8" t="n"/>
      <c r="G206" s="9" t="n"/>
      <c r="H206" s="9" t="n"/>
      <c r="I206" s="9" t="n"/>
      <c r="J206" s="6" t="n"/>
      <c r="K206" s="10">
        <f>IF(OR($C206="",$D206=""),"",$D206*$E206-N($F206))</f>
        <v/>
      </c>
      <c r="L206" s="11">
        <f>IF(OR($C206="",$D206=""),"",$D206*IFERROR(VLOOKUP($C206,'4. Produtos'!$A$6:$E$25,2,FALSE),0))</f>
        <v/>
      </c>
      <c r="M206" s="10">
        <f>IF(OR($C206="",$D206=""),"",$K206-$L206)</f>
        <v/>
      </c>
      <c r="N206" s="12">
        <f>IF($A206="","",EOMONTH($A206,0))</f>
        <v/>
      </c>
    </row>
    <row r="207">
      <c r="A207" s="5" t="n"/>
      <c r="B207" s="6" t="n"/>
      <c r="C207" s="6" t="n"/>
      <c r="D207" s="7" t="n"/>
      <c r="E207" s="8">
        <f>IF($C207="","",IFERROR(VLOOKUP($C207,'4. Produtos'!$A$6:$E$25,3,FALSE),0))</f>
        <v/>
      </c>
      <c r="F207" s="8" t="n"/>
      <c r="G207" s="9" t="n"/>
      <c r="H207" s="9" t="n"/>
      <c r="I207" s="9" t="n"/>
      <c r="J207" s="6" t="n"/>
      <c r="K207" s="10">
        <f>IF(OR($C207="",$D207=""),"",$D207*$E207-N($F207))</f>
        <v/>
      </c>
      <c r="L207" s="11">
        <f>IF(OR($C207="",$D207=""),"",$D207*IFERROR(VLOOKUP($C207,'4. Produtos'!$A$6:$E$25,2,FALSE),0))</f>
        <v/>
      </c>
      <c r="M207" s="10">
        <f>IF(OR($C207="",$D207=""),"",$K207-$L207)</f>
        <v/>
      </c>
      <c r="N207" s="12">
        <f>IF($A207="","",EOMONTH($A207,0))</f>
        <v/>
      </c>
    </row>
    <row r="208">
      <c r="A208" s="5" t="n"/>
      <c r="B208" s="6" t="n"/>
      <c r="C208" s="6" t="n"/>
      <c r="D208" s="7" t="n"/>
      <c r="E208" s="8">
        <f>IF($C208="","",IFERROR(VLOOKUP($C208,'4. Produtos'!$A$6:$E$25,3,FALSE),0))</f>
        <v/>
      </c>
      <c r="F208" s="8" t="n"/>
      <c r="G208" s="9" t="n"/>
      <c r="H208" s="9" t="n"/>
      <c r="I208" s="9" t="n"/>
      <c r="J208" s="6" t="n"/>
      <c r="K208" s="10">
        <f>IF(OR($C208="",$D208=""),"",$D208*$E208-N($F208))</f>
        <v/>
      </c>
      <c r="L208" s="11">
        <f>IF(OR($C208="",$D208=""),"",$D208*IFERROR(VLOOKUP($C208,'4. Produtos'!$A$6:$E$25,2,FALSE),0))</f>
        <v/>
      </c>
      <c r="M208" s="10">
        <f>IF(OR($C208="",$D208=""),"",$K208-$L208)</f>
        <v/>
      </c>
      <c r="N208" s="12">
        <f>IF($A208="","",EOMONTH($A208,0))</f>
        <v/>
      </c>
    </row>
    <row r="209">
      <c r="A209" s="5" t="n"/>
      <c r="B209" s="6" t="n"/>
      <c r="C209" s="6" t="n"/>
      <c r="D209" s="7" t="n"/>
      <c r="E209" s="8">
        <f>IF($C209="","",IFERROR(VLOOKUP($C209,'4. Produtos'!$A$6:$E$25,3,FALSE),0))</f>
        <v/>
      </c>
      <c r="F209" s="8" t="n"/>
      <c r="G209" s="9" t="n"/>
      <c r="H209" s="9" t="n"/>
      <c r="I209" s="9" t="n"/>
      <c r="J209" s="6" t="n"/>
      <c r="K209" s="10">
        <f>IF(OR($C209="",$D209=""),"",$D209*$E209-N($F209))</f>
        <v/>
      </c>
      <c r="L209" s="11">
        <f>IF(OR($C209="",$D209=""),"",$D209*IFERROR(VLOOKUP($C209,'4. Produtos'!$A$6:$E$25,2,FALSE),0))</f>
        <v/>
      </c>
      <c r="M209" s="10">
        <f>IF(OR($C209="",$D209=""),"",$K209-$L209)</f>
        <v/>
      </c>
      <c r="N209" s="12">
        <f>IF($A209="","",EOMONTH($A209,0))</f>
        <v/>
      </c>
    </row>
    <row r="210">
      <c r="A210" s="5" t="n"/>
      <c r="B210" s="6" t="n"/>
      <c r="C210" s="6" t="n"/>
      <c r="D210" s="7" t="n"/>
      <c r="E210" s="8">
        <f>IF($C210="","",IFERROR(VLOOKUP($C210,'4. Produtos'!$A$6:$E$25,3,FALSE),0))</f>
        <v/>
      </c>
      <c r="F210" s="8" t="n"/>
      <c r="G210" s="9" t="n"/>
      <c r="H210" s="9" t="n"/>
      <c r="I210" s="9" t="n"/>
      <c r="J210" s="6" t="n"/>
      <c r="K210" s="10">
        <f>IF(OR($C210="",$D210=""),"",$D210*$E210-N($F210))</f>
        <v/>
      </c>
      <c r="L210" s="11">
        <f>IF(OR($C210="",$D210=""),"",$D210*IFERROR(VLOOKUP($C210,'4. Produtos'!$A$6:$E$25,2,FALSE),0))</f>
        <v/>
      </c>
      <c r="M210" s="10">
        <f>IF(OR($C210="",$D210=""),"",$K210-$L210)</f>
        <v/>
      </c>
      <c r="N210" s="12">
        <f>IF($A210="","",EOMONTH($A210,0))</f>
        <v/>
      </c>
    </row>
    <row r="211">
      <c r="A211" s="5" t="n"/>
      <c r="B211" s="6" t="n"/>
      <c r="C211" s="6" t="n"/>
      <c r="D211" s="7" t="n"/>
      <c r="E211" s="8">
        <f>IF($C211="","",IFERROR(VLOOKUP($C211,'4. Produtos'!$A$6:$E$25,3,FALSE),0))</f>
        <v/>
      </c>
      <c r="F211" s="8" t="n"/>
      <c r="G211" s="9" t="n"/>
      <c r="H211" s="9" t="n"/>
      <c r="I211" s="9" t="n"/>
      <c r="J211" s="6" t="n"/>
      <c r="K211" s="10">
        <f>IF(OR($C211="",$D211=""),"",$D211*$E211-N($F211))</f>
        <v/>
      </c>
      <c r="L211" s="11">
        <f>IF(OR($C211="",$D211=""),"",$D211*IFERROR(VLOOKUP($C211,'4. Produtos'!$A$6:$E$25,2,FALSE),0))</f>
        <v/>
      </c>
      <c r="M211" s="10">
        <f>IF(OR($C211="",$D211=""),"",$K211-$L211)</f>
        <v/>
      </c>
      <c r="N211" s="12">
        <f>IF($A211="","",EOMONTH($A211,0))</f>
        <v/>
      </c>
    </row>
    <row r="212">
      <c r="A212" s="5" t="n"/>
      <c r="B212" s="6" t="n"/>
      <c r="C212" s="6" t="n"/>
      <c r="D212" s="7" t="n"/>
      <c r="E212" s="8">
        <f>IF($C212="","",IFERROR(VLOOKUP($C212,'4. Produtos'!$A$6:$E$25,3,FALSE),0))</f>
        <v/>
      </c>
      <c r="F212" s="8" t="n"/>
      <c r="G212" s="9" t="n"/>
      <c r="H212" s="9" t="n"/>
      <c r="I212" s="9" t="n"/>
      <c r="J212" s="6" t="n"/>
      <c r="K212" s="10">
        <f>IF(OR($C212="",$D212=""),"",$D212*$E212-N($F212))</f>
        <v/>
      </c>
      <c r="L212" s="11">
        <f>IF(OR($C212="",$D212=""),"",$D212*IFERROR(VLOOKUP($C212,'4. Produtos'!$A$6:$E$25,2,FALSE),0))</f>
        <v/>
      </c>
      <c r="M212" s="10">
        <f>IF(OR($C212="",$D212=""),"",$K212-$L212)</f>
        <v/>
      </c>
      <c r="N212" s="12">
        <f>IF($A212="","",EOMONTH($A212,0))</f>
        <v/>
      </c>
    </row>
    <row r="213">
      <c r="A213" s="5" t="n"/>
      <c r="B213" s="6" t="n"/>
      <c r="C213" s="6" t="n"/>
      <c r="D213" s="7" t="n"/>
      <c r="E213" s="8">
        <f>IF($C213="","",IFERROR(VLOOKUP($C213,'4. Produtos'!$A$6:$E$25,3,FALSE),0))</f>
        <v/>
      </c>
      <c r="F213" s="8" t="n"/>
      <c r="G213" s="9" t="n"/>
      <c r="H213" s="9" t="n"/>
      <c r="I213" s="9" t="n"/>
      <c r="J213" s="6" t="n"/>
      <c r="K213" s="10">
        <f>IF(OR($C213="",$D213=""),"",$D213*$E213-N($F213))</f>
        <v/>
      </c>
      <c r="L213" s="11">
        <f>IF(OR($C213="",$D213=""),"",$D213*IFERROR(VLOOKUP($C213,'4. Produtos'!$A$6:$E$25,2,FALSE),0))</f>
        <v/>
      </c>
      <c r="M213" s="10">
        <f>IF(OR($C213="",$D213=""),"",$K213-$L213)</f>
        <v/>
      </c>
      <c r="N213" s="12">
        <f>IF($A213="","",EOMONTH($A213,0))</f>
        <v/>
      </c>
    </row>
    <row r="214">
      <c r="A214" s="5" t="n"/>
      <c r="B214" s="6" t="n"/>
      <c r="C214" s="6" t="n"/>
      <c r="D214" s="7" t="n"/>
      <c r="E214" s="8">
        <f>IF($C214="","",IFERROR(VLOOKUP($C214,'4. Produtos'!$A$6:$E$25,3,FALSE),0))</f>
        <v/>
      </c>
      <c r="F214" s="8" t="n"/>
      <c r="G214" s="9" t="n"/>
      <c r="H214" s="9" t="n"/>
      <c r="I214" s="9" t="n"/>
      <c r="J214" s="6" t="n"/>
      <c r="K214" s="10">
        <f>IF(OR($C214="",$D214=""),"",$D214*$E214-N($F214))</f>
        <v/>
      </c>
      <c r="L214" s="11">
        <f>IF(OR($C214="",$D214=""),"",$D214*IFERROR(VLOOKUP($C214,'4. Produtos'!$A$6:$E$25,2,FALSE),0))</f>
        <v/>
      </c>
      <c r="M214" s="10">
        <f>IF(OR($C214="",$D214=""),"",$K214-$L214)</f>
        <v/>
      </c>
      <c r="N214" s="12">
        <f>IF($A214="","",EOMONTH($A214,0))</f>
        <v/>
      </c>
    </row>
    <row r="215">
      <c r="A215" s="5" t="n"/>
      <c r="B215" s="6" t="n"/>
      <c r="C215" s="6" t="n"/>
      <c r="D215" s="7" t="n"/>
      <c r="E215" s="8">
        <f>IF($C215="","",IFERROR(VLOOKUP($C215,'4. Produtos'!$A$6:$E$25,3,FALSE),0))</f>
        <v/>
      </c>
      <c r="F215" s="8" t="n"/>
      <c r="G215" s="9" t="n"/>
      <c r="H215" s="9" t="n"/>
      <c r="I215" s="9" t="n"/>
      <c r="J215" s="6" t="n"/>
      <c r="K215" s="10">
        <f>IF(OR($C215="",$D215=""),"",$D215*$E215-N($F215))</f>
        <v/>
      </c>
      <c r="L215" s="11">
        <f>IF(OR($C215="",$D215=""),"",$D215*IFERROR(VLOOKUP($C215,'4. Produtos'!$A$6:$E$25,2,FALSE),0))</f>
        <v/>
      </c>
      <c r="M215" s="10">
        <f>IF(OR($C215="",$D215=""),"",$K215-$L215)</f>
        <v/>
      </c>
      <c r="N215" s="12">
        <f>IF($A215="","",EOMONTH($A215,0))</f>
        <v/>
      </c>
    </row>
    <row r="216">
      <c r="A216" s="5" t="n"/>
      <c r="B216" s="6" t="n"/>
      <c r="C216" s="6" t="n"/>
      <c r="D216" s="7" t="n"/>
      <c r="E216" s="8">
        <f>IF($C216="","",IFERROR(VLOOKUP($C216,'4. Produtos'!$A$6:$E$25,3,FALSE),0))</f>
        <v/>
      </c>
      <c r="F216" s="8" t="n"/>
      <c r="G216" s="9" t="n"/>
      <c r="H216" s="9" t="n"/>
      <c r="I216" s="9" t="n"/>
      <c r="J216" s="6" t="n"/>
      <c r="K216" s="10">
        <f>IF(OR($C216="",$D216=""),"",$D216*$E216-N($F216))</f>
        <v/>
      </c>
      <c r="L216" s="11">
        <f>IF(OR($C216="",$D216=""),"",$D216*IFERROR(VLOOKUP($C216,'4. Produtos'!$A$6:$E$25,2,FALSE),0))</f>
        <v/>
      </c>
      <c r="M216" s="10">
        <f>IF(OR($C216="",$D216=""),"",$K216-$L216)</f>
        <v/>
      </c>
      <c r="N216" s="12">
        <f>IF($A216="","",EOMONTH($A216,0))</f>
        <v/>
      </c>
    </row>
    <row r="217">
      <c r="A217" s="5" t="n"/>
      <c r="B217" s="6" t="n"/>
      <c r="C217" s="6" t="n"/>
      <c r="D217" s="7" t="n"/>
      <c r="E217" s="8">
        <f>IF($C217="","",IFERROR(VLOOKUP($C217,'4. Produtos'!$A$6:$E$25,3,FALSE),0))</f>
        <v/>
      </c>
      <c r="F217" s="8" t="n"/>
      <c r="G217" s="9" t="n"/>
      <c r="H217" s="9" t="n"/>
      <c r="I217" s="9" t="n"/>
      <c r="J217" s="6" t="n"/>
      <c r="K217" s="10">
        <f>IF(OR($C217="",$D217=""),"",$D217*$E217-N($F217))</f>
        <v/>
      </c>
      <c r="L217" s="11">
        <f>IF(OR($C217="",$D217=""),"",$D217*IFERROR(VLOOKUP($C217,'4. Produtos'!$A$6:$E$25,2,FALSE),0))</f>
        <v/>
      </c>
      <c r="M217" s="10">
        <f>IF(OR($C217="",$D217=""),"",$K217-$L217)</f>
        <v/>
      </c>
      <c r="N217" s="12">
        <f>IF($A217="","",EOMONTH($A217,0))</f>
        <v/>
      </c>
    </row>
    <row r="218">
      <c r="A218" s="5" t="n"/>
      <c r="B218" s="6" t="n"/>
      <c r="C218" s="6" t="n"/>
      <c r="D218" s="7" t="n"/>
      <c r="E218" s="8">
        <f>IF($C218="","",IFERROR(VLOOKUP($C218,'4. Produtos'!$A$6:$E$25,3,FALSE),0))</f>
        <v/>
      </c>
      <c r="F218" s="8" t="n"/>
      <c r="G218" s="9" t="n"/>
      <c r="H218" s="9" t="n"/>
      <c r="I218" s="9" t="n"/>
      <c r="J218" s="6" t="n"/>
      <c r="K218" s="10">
        <f>IF(OR($C218="",$D218=""),"",$D218*$E218-N($F218))</f>
        <v/>
      </c>
      <c r="L218" s="11">
        <f>IF(OR($C218="",$D218=""),"",$D218*IFERROR(VLOOKUP($C218,'4. Produtos'!$A$6:$E$25,2,FALSE),0))</f>
        <v/>
      </c>
      <c r="M218" s="10">
        <f>IF(OR($C218="",$D218=""),"",$K218-$L218)</f>
        <v/>
      </c>
      <c r="N218" s="12">
        <f>IF($A218="","",EOMONTH($A218,0))</f>
        <v/>
      </c>
    </row>
    <row r="219">
      <c r="A219" s="5" t="n"/>
      <c r="B219" s="6" t="n"/>
      <c r="C219" s="6" t="n"/>
      <c r="D219" s="7" t="n"/>
      <c r="E219" s="8">
        <f>IF($C219="","",IFERROR(VLOOKUP($C219,'4. Produtos'!$A$6:$E$25,3,FALSE),0))</f>
        <v/>
      </c>
      <c r="F219" s="8" t="n"/>
      <c r="G219" s="9" t="n"/>
      <c r="H219" s="9" t="n"/>
      <c r="I219" s="9" t="n"/>
      <c r="J219" s="6" t="n"/>
      <c r="K219" s="10">
        <f>IF(OR($C219="",$D219=""),"",$D219*$E219-N($F219))</f>
        <v/>
      </c>
      <c r="L219" s="11">
        <f>IF(OR($C219="",$D219=""),"",$D219*IFERROR(VLOOKUP($C219,'4. Produtos'!$A$6:$E$25,2,FALSE),0))</f>
        <v/>
      </c>
      <c r="M219" s="10">
        <f>IF(OR($C219="",$D219=""),"",$K219-$L219)</f>
        <v/>
      </c>
      <c r="N219" s="12">
        <f>IF($A219="","",EOMONTH($A219,0))</f>
        <v/>
      </c>
    </row>
    <row r="220">
      <c r="A220" s="5" t="n"/>
      <c r="B220" s="6" t="n"/>
      <c r="C220" s="6" t="n"/>
      <c r="D220" s="7" t="n"/>
      <c r="E220" s="8">
        <f>IF($C220="","",IFERROR(VLOOKUP($C220,'4. Produtos'!$A$6:$E$25,3,FALSE),0))</f>
        <v/>
      </c>
      <c r="F220" s="8" t="n"/>
      <c r="G220" s="9" t="n"/>
      <c r="H220" s="9" t="n"/>
      <c r="I220" s="9" t="n"/>
      <c r="J220" s="6" t="n"/>
      <c r="K220" s="10">
        <f>IF(OR($C220="",$D220=""),"",$D220*$E220-N($F220))</f>
        <v/>
      </c>
      <c r="L220" s="11">
        <f>IF(OR($C220="",$D220=""),"",$D220*IFERROR(VLOOKUP($C220,'4. Produtos'!$A$6:$E$25,2,FALSE),0))</f>
        <v/>
      </c>
      <c r="M220" s="10">
        <f>IF(OR($C220="",$D220=""),"",$K220-$L220)</f>
        <v/>
      </c>
      <c r="N220" s="12">
        <f>IF($A220="","",EOMONTH($A220,0))</f>
        <v/>
      </c>
    </row>
    <row r="221">
      <c r="A221" s="5" t="n"/>
      <c r="B221" s="6" t="n"/>
      <c r="C221" s="6" t="n"/>
      <c r="D221" s="7" t="n"/>
      <c r="E221" s="8">
        <f>IF($C221="","",IFERROR(VLOOKUP($C221,'4. Produtos'!$A$6:$E$25,3,FALSE),0))</f>
        <v/>
      </c>
      <c r="F221" s="8" t="n"/>
      <c r="G221" s="9" t="n"/>
      <c r="H221" s="9" t="n"/>
      <c r="I221" s="9" t="n"/>
      <c r="J221" s="6" t="n"/>
      <c r="K221" s="10">
        <f>IF(OR($C221="",$D221=""),"",$D221*$E221-N($F221))</f>
        <v/>
      </c>
      <c r="L221" s="11">
        <f>IF(OR($C221="",$D221=""),"",$D221*IFERROR(VLOOKUP($C221,'4. Produtos'!$A$6:$E$25,2,FALSE),0))</f>
        <v/>
      </c>
      <c r="M221" s="10">
        <f>IF(OR($C221="",$D221=""),"",$K221-$L221)</f>
        <v/>
      </c>
      <c r="N221" s="12">
        <f>IF($A221="","",EOMONTH($A221,0))</f>
        <v/>
      </c>
    </row>
    <row r="222">
      <c r="A222" s="5" t="n"/>
      <c r="B222" s="6" t="n"/>
      <c r="C222" s="6" t="n"/>
      <c r="D222" s="7" t="n"/>
      <c r="E222" s="8">
        <f>IF($C222="","",IFERROR(VLOOKUP($C222,'4. Produtos'!$A$6:$E$25,3,FALSE),0))</f>
        <v/>
      </c>
      <c r="F222" s="8" t="n"/>
      <c r="G222" s="9" t="n"/>
      <c r="H222" s="9" t="n"/>
      <c r="I222" s="9" t="n"/>
      <c r="J222" s="6" t="n"/>
      <c r="K222" s="10">
        <f>IF(OR($C222="",$D222=""),"",$D222*$E222-N($F222))</f>
        <v/>
      </c>
      <c r="L222" s="11">
        <f>IF(OR($C222="",$D222=""),"",$D222*IFERROR(VLOOKUP($C222,'4. Produtos'!$A$6:$E$25,2,FALSE),0))</f>
        <v/>
      </c>
      <c r="M222" s="10">
        <f>IF(OR($C222="",$D222=""),"",$K222-$L222)</f>
        <v/>
      </c>
      <c r="N222" s="12">
        <f>IF($A222="","",EOMONTH($A222,0))</f>
        <v/>
      </c>
    </row>
    <row r="223">
      <c r="A223" s="5" t="n"/>
      <c r="B223" s="6" t="n"/>
      <c r="C223" s="6" t="n"/>
      <c r="D223" s="7" t="n"/>
      <c r="E223" s="8">
        <f>IF($C223="","",IFERROR(VLOOKUP($C223,'4. Produtos'!$A$6:$E$25,3,FALSE),0))</f>
        <v/>
      </c>
      <c r="F223" s="8" t="n"/>
      <c r="G223" s="9" t="n"/>
      <c r="H223" s="9" t="n"/>
      <c r="I223" s="9" t="n"/>
      <c r="J223" s="6" t="n"/>
      <c r="K223" s="10">
        <f>IF(OR($C223="",$D223=""),"",$D223*$E223-N($F223))</f>
        <v/>
      </c>
      <c r="L223" s="11">
        <f>IF(OR($C223="",$D223=""),"",$D223*IFERROR(VLOOKUP($C223,'4. Produtos'!$A$6:$E$25,2,FALSE),0))</f>
        <v/>
      </c>
      <c r="M223" s="10">
        <f>IF(OR($C223="",$D223=""),"",$K223-$L223)</f>
        <v/>
      </c>
      <c r="N223" s="12">
        <f>IF($A223="","",EOMONTH($A223,0))</f>
        <v/>
      </c>
    </row>
    <row r="224">
      <c r="A224" s="5" t="n"/>
      <c r="B224" s="6" t="n"/>
      <c r="C224" s="6" t="n"/>
      <c r="D224" s="7" t="n"/>
      <c r="E224" s="8">
        <f>IF($C224="","",IFERROR(VLOOKUP($C224,'4. Produtos'!$A$6:$E$25,3,FALSE),0))</f>
        <v/>
      </c>
      <c r="F224" s="8" t="n"/>
      <c r="G224" s="9" t="n"/>
      <c r="H224" s="9" t="n"/>
      <c r="I224" s="9" t="n"/>
      <c r="J224" s="6" t="n"/>
      <c r="K224" s="10">
        <f>IF(OR($C224="",$D224=""),"",$D224*$E224-N($F224))</f>
        <v/>
      </c>
      <c r="L224" s="11">
        <f>IF(OR($C224="",$D224=""),"",$D224*IFERROR(VLOOKUP($C224,'4. Produtos'!$A$6:$E$25,2,FALSE),0))</f>
        <v/>
      </c>
      <c r="M224" s="10">
        <f>IF(OR($C224="",$D224=""),"",$K224-$L224)</f>
        <v/>
      </c>
      <c r="N224" s="12">
        <f>IF($A224="","",EOMONTH($A224,0))</f>
        <v/>
      </c>
    </row>
    <row r="225">
      <c r="A225" s="5" t="n"/>
      <c r="B225" s="6" t="n"/>
      <c r="C225" s="6" t="n"/>
      <c r="D225" s="7" t="n"/>
      <c r="E225" s="8">
        <f>IF($C225="","",IFERROR(VLOOKUP($C225,'4. Produtos'!$A$6:$E$25,3,FALSE),0))</f>
        <v/>
      </c>
      <c r="F225" s="8" t="n"/>
      <c r="G225" s="9" t="n"/>
      <c r="H225" s="9" t="n"/>
      <c r="I225" s="9" t="n"/>
      <c r="J225" s="6" t="n"/>
      <c r="K225" s="10">
        <f>IF(OR($C225="",$D225=""),"",$D225*$E225-N($F225))</f>
        <v/>
      </c>
      <c r="L225" s="11">
        <f>IF(OR($C225="",$D225=""),"",$D225*IFERROR(VLOOKUP($C225,'4. Produtos'!$A$6:$E$25,2,FALSE),0))</f>
        <v/>
      </c>
      <c r="M225" s="10">
        <f>IF(OR($C225="",$D225=""),"",$K225-$L225)</f>
        <v/>
      </c>
      <c r="N225" s="12">
        <f>IF($A225="","",EOMONTH($A225,0))</f>
        <v/>
      </c>
    </row>
    <row r="226">
      <c r="A226" s="5" t="n"/>
      <c r="B226" s="6" t="n"/>
      <c r="C226" s="6" t="n"/>
      <c r="D226" s="7" t="n"/>
      <c r="E226" s="8">
        <f>IF($C226="","",IFERROR(VLOOKUP($C226,'4. Produtos'!$A$6:$E$25,3,FALSE),0))</f>
        <v/>
      </c>
      <c r="F226" s="8" t="n"/>
      <c r="G226" s="9" t="n"/>
      <c r="H226" s="9" t="n"/>
      <c r="I226" s="9" t="n"/>
      <c r="J226" s="6" t="n"/>
      <c r="K226" s="10">
        <f>IF(OR($C226="",$D226=""),"",$D226*$E226-N($F226))</f>
        <v/>
      </c>
      <c r="L226" s="11">
        <f>IF(OR($C226="",$D226=""),"",$D226*IFERROR(VLOOKUP($C226,'4. Produtos'!$A$6:$E$25,2,FALSE),0))</f>
        <v/>
      </c>
      <c r="M226" s="10">
        <f>IF(OR($C226="",$D226=""),"",$K226-$L226)</f>
        <v/>
      </c>
      <c r="N226" s="12">
        <f>IF($A226="","",EOMONTH($A226,0))</f>
        <v/>
      </c>
    </row>
    <row r="227">
      <c r="A227" s="5" t="n"/>
      <c r="B227" s="6" t="n"/>
      <c r="C227" s="6" t="n"/>
      <c r="D227" s="7" t="n"/>
      <c r="E227" s="8">
        <f>IF($C227="","",IFERROR(VLOOKUP($C227,'4. Produtos'!$A$6:$E$25,3,FALSE),0))</f>
        <v/>
      </c>
      <c r="F227" s="8" t="n"/>
      <c r="G227" s="9" t="n"/>
      <c r="H227" s="9" t="n"/>
      <c r="I227" s="9" t="n"/>
      <c r="J227" s="6" t="n"/>
      <c r="K227" s="10">
        <f>IF(OR($C227="",$D227=""),"",$D227*$E227-N($F227))</f>
        <v/>
      </c>
      <c r="L227" s="11">
        <f>IF(OR($C227="",$D227=""),"",$D227*IFERROR(VLOOKUP($C227,'4. Produtos'!$A$6:$E$25,2,FALSE),0))</f>
        <v/>
      </c>
      <c r="M227" s="10">
        <f>IF(OR($C227="",$D227=""),"",$K227-$L227)</f>
        <v/>
      </c>
      <c r="N227" s="12">
        <f>IF($A227="","",EOMONTH($A227,0))</f>
        <v/>
      </c>
    </row>
    <row r="228">
      <c r="A228" s="5" t="n"/>
      <c r="B228" s="6" t="n"/>
      <c r="C228" s="6" t="n"/>
      <c r="D228" s="7" t="n"/>
      <c r="E228" s="8">
        <f>IF($C228="","",IFERROR(VLOOKUP($C228,'4. Produtos'!$A$6:$E$25,3,FALSE),0))</f>
        <v/>
      </c>
      <c r="F228" s="8" t="n"/>
      <c r="G228" s="9" t="n"/>
      <c r="H228" s="9" t="n"/>
      <c r="I228" s="9" t="n"/>
      <c r="J228" s="6" t="n"/>
      <c r="K228" s="10">
        <f>IF(OR($C228="",$D228=""),"",$D228*$E228-N($F228))</f>
        <v/>
      </c>
      <c r="L228" s="11">
        <f>IF(OR($C228="",$D228=""),"",$D228*IFERROR(VLOOKUP($C228,'4. Produtos'!$A$6:$E$25,2,FALSE),0))</f>
        <v/>
      </c>
      <c r="M228" s="10">
        <f>IF(OR($C228="",$D228=""),"",$K228-$L228)</f>
        <v/>
      </c>
      <c r="N228" s="12">
        <f>IF($A228="","",EOMONTH($A228,0))</f>
        <v/>
      </c>
    </row>
    <row r="229">
      <c r="A229" s="5" t="n"/>
      <c r="B229" s="6" t="n"/>
      <c r="C229" s="6" t="n"/>
      <c r="D229" s="7" t="n"/>
      <c r="E229" s="8">
        <f>IF($C229="","",IFERROR(VLOOKUP($C229,'4. Produtos'!$A$6:$E$25,3,FALSE),0))</f>
        <v/>
      </c>
      <c r="F229" s="8" t="n"/>
      <c r="G229" s="9" t="n"/>
      <c r="H229" s="9" t="n"/>
      <c r="I229" s="9" t="n"/>
      <c r="J229" s="6" t="n"/>
      <c r="K229" s="10">
        <f>IF(OR($C229="",$D229=""),"",$D229*$E229-N($F229))</f>
        <v/>
      </c>
      <c r="L229" s="11">
        <f>IF(OR($C229="",$D229=""),"",$D229*IFERROR(VLOOKUP($C229,'4. Produtos'!$A$6:$E$25,2,FALSE),0))</f>
        <v/>
      </c>
      <c r="M229" s="10">
        <f>IF(OR($C229="",$D229=""),"",$K229-$L229)</f>
        <v/>
      </c>
      <c r="N229" s="12">
        <f>IF($A229="","",EOMONTH($A229,0))</f>
        <v/>
      </c>
    </row>
    <row r="230">
      <c r="A230" s="5" t="n"/>
      <c r="B230" s="6" t="n"/>
      <c r="C230" s="6" t="n"/>
      <c r="D230" s="7" t="n"/>
      <c r="E230" s="8">
        <f>IF($C230="","",IFERROR(VLOOKUP($C230,'4. Produtos'!$A$6:$E$25,3,FALSE),0))</f>
        <v/>
      </c>
      <c r="F230" s="8" t="n"/>
      <c r="G230" s="9" t="n"/>
      <c r="H230" s="9" t="n"/>
      <c r="I230" s="9" t="n"/>
      <c r="J230" s="6" t="n"/>
      <c r="K230" s="10">
        <f>IF(OR($C230="",$D230=""),"",$D230*$E230-N($F230))</f>
        <v/>
      </c>
      <c r="L230" s="11">
        <f>IF(OR($C230="",$D230=""),"",$D230*IFERROR(VLOOKUP($C230,'4. Produtos'!$A$6:$E$25,2,FALSE),0))</f>
        <v/>
      </c>
      <c r="M230" s="10">
        <f>IF(OR($C230="",$D230=""),"",$K230-$L230)</f>
        <v/>
      </c>
      <c r="N230" s="12">
        <f>IF($A230="","",EOMONTH($A230,0))</f>
        <v/>
      </c>
    </row>
    <row r="231">
      <c r="A231" s="5" t="n"/>
      <c r="B231" s="6" t="n"/>
      <c r="C231" s="6" t="n"/>
      <c r="D231" s="7" t="n"/>
      <c r="E231" s="8">
        <f>IF($C231="","",IFERROR(VLOOKUP($C231,'4. Produtos'!$A$6:$E$25,3,FALSE),0))</f>
        <v/>
      </c>
      <c r="F231" s="8" t="n"/>
      <c r="G231" s="9" t="n"/>
      <c r="H231" s="9" t="n"/>
      <c r="I231" s="9" t="n"/>
      <c r="J231" s="6" t="n"/>
      <c r="K231" s="10">
        <f>IF(OR($C231="",$D231=""),"",$D231*$E231-N($F231))</f>
        <v/>
      </c>
      <c r="L231" s="11">
        <f>IF(OR($C231="",$D231=""),"",$D231*IFERROR(VLOOKUP($C231,'4. Produtos'!$A$6:$E$25,2,FALSE),0))</f>
        <v/>
      </c>
      <c r="M231" s="10">
        <f>IF(OR($C231="",$D231=""),"",$K231-$L231)</f>
        <v/>
      </c>
      <c r="N231" s="12">
        <f>IF($A231="","",EOMONTH($A231,0))</f>
        <v/>
      </c>
    </row>
    <row r="232">
      <c r="A232" s="5" t="n"/>
      <c r="B232" s="6" t="n"/>
      <c r="C232" s="6" t="n"/>
      <c r="D232" s="7" t="n"/>
      <c r="E232" s="8">
        <f>IF($C232="","",IFERROR(VLOOKUP($C232,'4. Produtos'!$A$6:$E$25,3,FALSE),0))</f>
        <v/>
      </c>
      <c r="F232" s="8" t="n"/>
      <c r="G232" s="9" t="n"/>
      <c r="H232" s="9" t="n"/>
      <c r="I232" s="9" t="n"/>
      <c r="J232" s="6" t="n"/>
      <c r="K232" s="10">
        <f>IF(OR($C232="",$D232=""),"",$D232*$E232-N($F232))</f>
        <v/>
      </c>
      <c r="L232" s="11">
        <f>IF(OR($C232="",$D232=""),"",$D232*IFERROR(VLOOKUP($C232,'4. Produtos'!$A$6:$E$25,2,FALSE),0))</f>
        <v/>
      </c>
      <c r="M232" s="10">
        <f>IF(OR($C232="",$D232=""),"",$K232-$L232)</f>
        <v/>
      </c>
      <c r="N232" s="12">
        <f>IF($A232="","",EOMONTH($A232,0))</f>
        <v/>
      </c>
    </row>
    <row r="233">
      <c r="A233" s="5" t="n"/>
      <c r="B233" s="6" t="n"/>
      <c r="C233" s="6" t="n"/>
      <c r="D233" s="7" t="n"/>
      <c r="E233" s="8">
        <f>IF($C233="","",IFERROR(VLOOKUP($C233,'4. Produtos'!$A$6:$E$25,3,FALSE),0))</f>
        <v/>
      </c>
      <c r="F233" s="8" t="n"/>
      <c r="G233" s="9" t="n"/>
      <c r="H233" s="9" t="n"/>
      <c r="I233" s="9" t="n"/>
      <c r="J233" s="6" t="n"/>
      <c r="K233" s="10">
        <f>IF(OR($C233="",$D233=""),"",$D233*$E233-N($F233))</f>
        <v/>
      </c>
      <c r="L233" s="11">
        <f>IF(OR($C233="",$D233=""),"",$D233*IFERROR(VLOOKUP($C233,'4. Produtos'!$A$6:$E$25,2,FALSE),0))</f>
        <v/>
      </c>
      <c r="M233" s="10">
        <f>IF(OR($C233="",$D233=""),"",$K233-$L233)</f>
        <v/>
      </c>
      <c r="N233" s="12">
        <f>IF($A233="","",EOMONTH($A233,0))</f>
        <v/>
      </c>
    </row>
    <row r="234">
      <c r="A234" s="5" t="n"/>
      <c r="B234" s="6" t="n"/>
      <c r="C234" s="6" t="n"/>
      <c r="D234" s="7" t="n"/>
      <c r="E234" s="8">
        <f>IF($C234="","",IFERROR(VLOOKUP($C234,'4. Produtos'!$A$6:$E$25,3,FALSE),0))</f>
        <v/>
      </c>
      <c r="F234" s="8" t="n"/>
      <c r="G234" s="9" t="n"/>
      <c r="H234" s="9" t="n"/>
      <c r="I234" s="9" t="n"/>
      <c r="J234" s="6" t="n"/>
      <c r="K234" s="10">
        <f>IF(OR($C234="",$D234=""),"",$D234*$E234-N($F234))</f>
        <v/>
      </c>
      <c r="L234" s="11">
        <f>IF(OR($C234="",$D234=""),"",$D234*IFERROR(VLOOKUP($C234,'4. Produtos'!$A$6:$E$25,2,FALSE),0))</f>
        <v/>
      </c>
      <c r="M234" s="10">
        <f>IF(OR($C234="",$D234=""),"",$K234-$L234)</f>
        <v/>
      </c>
      <c r="N234" s="12">
        <f>IF($A234="","",EOMONTH($A234,0))</f>
        <v/>
      </c>
    </row>
    <row r="235">
      <c r="A235" s="5" t="n"/>
      <c r="B235" s="6" t="n"/>
      <c r="C235" s="6" t="n"/>
      <c r="D235" s="7" t="n"/>
      <c r="E235" s="8">
        <f>IF($C235="","",IFERROR(VLOOKUP($C235,'4. Produtos'!$A$6:$E$25,3,FALSE),0))</f>
        <v/>
      </c>
      <c r="F235" s="8" t="n"/>
      <c r="G235" s="9" t="n"/>
      <c r="H235" s="9" t="n"/>
      <c r="I235" s="9" t="n"/>
      <c r="J235" s="6" t="n"/>
      <c r="K235" s="10">
        <f>IF(OR($C235="",$D235=""),"",$D235*$E235-N($F235))</f>
        <v/>
      </c>
      <c r="L235" s="11">
        <f>IF(OR($C235="",$D235=""),"",$D235*IFERROR(VLOOKUP($C235,'4. Produtos'!$A$6:$E$25,2,FALSE),0))</f>
        <v/>
      </c>
      <c r="M235" s="10">
        <f>IF(OR($C235="",$D235=""),"",$K235-$L235)</f>
        <v/>
      </c>
      <c r="N235" s="12">
        <f>IF($A235="","",EOMONTH($A235,0))</f>
        <v/>
      </c>
    </row>
    <row r="236">
      <c r="A236" s="5" t="n"/>
      <c r="B236" s="6" t="n"/>
      <c r="C236" s="6" t="n"/>
      <c r="D236" s="7" t="n"/>
      <c r="E236" s="8">
        <f>IF($C236="","",IFERROR(VLOOKUP($C236,'4. Produtos'!$A$6:$E$25,3,FALSE),0))</f>
        <v/>
      </c>
      <c r="F236" s="8" t="n"/>
      <c r="G236" s="9" t="n"/>
      <c r="H236" s="9" t="n"/>
      <c r="I236" s="9" t="n"/>
      <c r="J236" s="6" t="n"/>
      <c r="K236" s="10">
        <f>IF(OR($C236="",$D236=""),"",$D236*$E236-N($F236))</f>
        <v/>
      </c>
      <c r="L236" s="11">
        <f>IF(OR($C236="",$D236=""),"",$D236*IFERROR(VLOOKUP($C236,'4. Produtos'!$A$6:$E$25,2,FALSE),0))</f>
        <v/>
      </c>
      <c r="M236" s="10">
        <f>IF(OR($C236="",$D236=""),"",$K236-$L236)</f>
        <v/>
      </c>
      <c r="N236" s="12">
        <f>IF($A236="","",EOMONTH($A236,0))</f>
        <v/>
      </c>
    </row>
    <row r="237">
      <c r="A237" s="5" t="n"/>
      <c r="B237" s="6" t="n"/>
      <c r="C237" s="6" t="n"/>
      <c r="D237" s="7" t="n"/>
      <c r="E237" s="8">
        <f>IF($C237="","",IFERROR(VLOOKUP($C237,'4. Produtos'!$A$6:$E$25,3,FALSE),0))</f>
        <v/>
      </c>
      <c r="F237" s="8" t="n"/>
      <c r="G237" s="9" t="n"/>
      <c r="H237" s="9" t="n"/>
      <c r="I237" s="9" t="n"/>
      <c r="J237" s="6" t="n"/>
      <c r="K237" s="10">
        <f>IF(OR($C237="",$D237=""),"",$D237*$E237-N($F237))</f>
        <v/>
      </c>
      <c r="L237" s="11">
        <f>IF(OR($C237="",$D237=""),"",$D237*IFERROR(VLOOKUP($C237,'4. Produtos'!$A$6:$E$25,2,FALSE),0))</f>
        <v/>
      </c>
      <c r="M237" s="10">
        <f>IF(OR($C237="",$D237=""),"",$K237-$L237)</f>
        <v/>
      </c>
      <c r="N237" s="12">
        <f>IF($A237="","",EOMONTH($A237,0))</f>
        <v/>
      </c>
    </row>
    <row r="238">
      <c r="A238" s="5" t="n"/>
      <c r="B238" s="6" t="n"/>
      <c r="C238" s="6" t="n"/>
      <c r="D238" s="7" t="n"/>
      <c r="E238" s="8">
        <f>IF($C238="","",IFERROR(VLOOKUP($C238,'4. Produtos'!$A$6:$E$25,3,FALSE),0))</f>
        <v/>
      </c>
      <c r="F238" s="8" t="n"/>
      <c r="G238" s="9" t="n"/>
      <c r="H238" s="9" t="n"/>
      <c r="I238" s="9" t="n"/>
      <c r="J238" s="6" t="n"/>
      <c r="K238" s="10">
        <f>IF(OR($C238="",$D238=""),"",$D238*$E238-N($F238))</f>
        <v/>
      </c>
      <c r="L238" s="11">
        <f>IF(OR($C238="",$D238=""),"",$D238*IFERROR(VLOOKUP($C238,'4. Produtos'!$A$6:$E$25,2,FALSE),0))</f>
        <v/>
      </c>
      <c r="M238" s="10">
        <f>IF(OR($C238="",$D238=""),"",$K238-$L238)</f>
        <v/>
      </c>
      <c r="N238" s="12">
        <f>IF($A238="","",EOMONTH($A238,0))</f>
        <v/>
      </c>
    </row>
    <row r="239">
      <c r="A239" s="5" t="n"/>
      <c r="B239" s="6" t="n"/>
      <c r="C239" s="6" t="n"/>
      <c r="D239" s="7" t="n"/>
      <c r="E239" s="8">
        <f>IF($C239="","",IFERROR(VLOOKUP($C239,'4. Produtos'!$A$6:$E$25,3,FALSE),0))</f>
        <v/>
      </c>
      <c r="F239" s="8" t="n"/>
      <c r="G239" s="9" t="n"/>
      <c r="H239" s="9" t="n"/>
      <c r="I239" s="9" t="n"/>
      <c r="J239" s="6" t="n"/>
      <c r="K239" s="10">
        <f>IF(OR($C239="",$D239=""),"",$D239*$E239-N($F239))</f>
        <v/>
      </c>
      <c r="L239" s="11">
        <f>IF(OR($C239="",$D239=""),"",$D239*IFERROR(VLOOKUP($C239,'4. Produtos'!$A$6:$E$25,2,FALSE),0))</f>
        <v/>
      </c>
      <c r="M239" s="10">
        <f>IF(OR($C239="",$D239=""),"",$K239-$L239)</f>
        <v/>
      </c>
      <c r="N239" s="12">
        <f>IF($A239="","",EOMONTH($A239,0))</f>
        <v/>
      </c>
    </row>
    <row r="240">
      <c r="A240" s="5" t="n"/>
      <c r="B240" s="6" t="n"/>
      <c r="C240" s="6" t="n"/>
      <c r="D240" s="7" t="n"/>
      <c r="E240" s="8">
        <f>IF($C240="","",IFERROR(VLOOKUP($C240,'4. Produtos'!$A$6:$E$25,3,FALSE),0))</f>
        <v/>
      </c>
      <c r="F240" s="8" t="n"/>
      <c r="G240" s="9" t="n"/>
      <c r="H240" s="9" t="n"/>
      <c r="I240" s="9" t="n"/>
      <c r="J240" s="6" t="n"/>
      <c r="K240" s="10">
        <f>IF(OR($C240="",$D240=""),"",$D240*$E240-N($F240))</f>
        <v/>
      </c>
      <c r="L240" s="11">
        <f>IF(OR($C240="",$D240=""),"",$D240*IFERROR(VLOOKUP($C240,'4. Produtos'!$A$6:$E$25,2,FALSE),0))</f>
        <v/>
      </c>
      <c r="M240" s="10">
        <f>IF(OR($C240="",$D240=""),"",$K240-$L240)</f>
        <v/>
      </c>
      <c r="N240" s="12">
        <f>IF($A240="","",EOMONTH($A240,0))</f>
        <v/>
      </c>
    </row>
    <row r="241">
      <c r="A241" s="5" t="n"/>
      <c r="B241" s="6" t="n"/>
      <c r="C241" s="6" t="n"/>
      <c r="D241" s="7" t="n"/>
      <c r="E241" s="8">
        <f>IF($C241="","",IFERROR(VLOOKUP($C241,'4. Produtos'!$A$6:$E$25,3,FALSE),0))</f>
        <v/>
      </c>
      <c r="F241" s="8" t="n"/>
      <c r="G241" s="9" t="n"/>
      <c r="H241" s="9" t="n"/>
      <c r="I241" s="9" t="n"/>
      <c r="J241" s="6" t="n"/>
      <c r="K241" s="10">
        <f>IF(OR($C241="",$D241=""),"",$D241*$E241-N($F241))</f>
        <v/>
      </c>
      <c r="L241" s="11">
        <f>IF(OR($C241="",$D241=""),"",$D241*IFERROR(VLOOKUP($C241,'4. Produtos'!$A$6:$E$25,2,FALSE),0))</f>
        <v/>
      </c>
      <c r="M241" s="10">
        <f>IF(OR($C241="",$D241=""),"",$K241-$L241)</f>
        <v/>
      </c>
      <c r="N241" s="12">
        <f>IF($A241="","",EOMONTH($A241,0))</f>
        <v/>
      </c>
    </row>
    <row r="242">
      <c r="A242" s="5" t="n"/>
      <c r="B242" s="6" t="n"/>
      <c r="C242" s="6" t="n"/>
      <c r="D242" s="7" t="n"/>
      <c r="E242" s="8">
        <f>IF($C242="","",IFERROR(VLOOKUP($C242,'4. Produtos'!$A$6:$E$25,3,FALSE),0))</f>
        <v/>
      </c>
      <c r="F242" s="8" t="n"/>
      <c r="G242" s="9" t="n"/>
      <c r="H242" s="9" t="n"/>
      <c r="I242" s="9" t="n"/>
      <c r="J242" s="6" t="n"/>
      <c r="K242" s="10">
        <f>IF(OR($C242="",$D242=""),"",$D242*$E242-N($F242))</f>
        <v/>
      </c>
      <c r="L242" s="11">
        <f>IF(OR($C242="",$D242=""),"",$D242*IFERROR(VLOOKUP($C242,'4. Produtos'!$A$6:$E$25,2,FALSE),0))</f>
        <v/>
      </c>
      <c r="M242" s="10">
        <f>IF(OR($C242="",$D242=""),"",$K242-$L242)</f>
        <v/>
      </c>
      <c r="N242" s="12">
        <f>IF($A242="","",EOMONTH($A242,0))</f>
        <v/>
      </c>
    </row>
    <row r="243">
      <c r="A243" s="5" t="n"/>
      <c r="B243" s="6" t="n"/>
      <c r="C243" s="6" t="n"/>
      <c r="D243" s="7" t="n"/>
      <c r="E243" s="8">
        <f>IF($C243="","",IFERROR(VLOOKUP($C243,'4. Produtos'!$A$6:$E$25,3,FALSE),0))</f>
        <v/>
      </c>
      <c r="F243" s="8" t="n"/>
      <c r="G243" s="9" t="n"/>
      <c r="H243" s="9" t="n"/>
      <c r="I243" s="9" t="n"/>
      <c r="J243" s="6" t="n"/>
      <c r="K243" s="10">
        <f>IF(OR($C243="",$D243=""),"",$D243*$E243-N($F243))</f>
        <v/>
      </c>
      <c r="L243" s="11">
        <f>IF(OR($C243="",$D243=""),"",$D243*IFERROR(VLOOKUP($C243,'4. Produtos'!$A$6:$E$25,2,FALSE),0))</f>
        <v/>
      </c>
      <c r="M243" s="10">
        <f>IF(OR($C243="",$D243=""),"",$K243-$L243)</f>
        <v/>
      </c>
      <c r="N243" s="12">
        <f>IF($A243="","",EOMONTH($A243,0))</f>
        <v/>
      </c>
    </row>
    <row r="244">
      <c r="A244" s="5" t="n"/>
      <c r="B244" s="6" t="n"/>
      <c r="C244" s="6" t="n"/>
      <c r="D244" s="7" t="n"/>
      <c r="E244" s="8">
        <f>IF($C244="","",IFERROR(VLOOKUP($C244,'4. Produtos'!$A$6:$E$25,3,FALSE),0))</f>
        <v/>
      </c>
      <c r="F244" s="8" t="n"/>
      <c r="G244" s="9" t="n"/>
      <c r="H244" s="9" t="n"/>
      <c r="I244" s="9" t="n"/>
      <c r="J244" s="6" t="n"/>
      <c r="K244" s="10">
        <f>IF(OR($C244="",$D244=""),"",$D244*$E244-N($F244))</f>
        <v/>
      </c>
      <c r="L244" s="11">
        <f>IF(OR($C244="",$D244=""),"",$D244*IFERROR(VLOOKUP($C244,'4. Produtos'!$A$6:$E$25,2,FALSE),0))</f>
        <v/>
      </c>
      <c r="M244" s="10">
        <f>IF(OR($C244="",$D244=""),"",$K244-$L244)</f>
        <v/>
      </c>
      <c r="N244" s="12">
        <f>IF($A244="","",EOMONTH($A244,0))</f>
        <v/>
      </c>
    </row>
    <row r="245">
      <c r="A245" s="5" t="n"/>
      <c r="B245" s="6" t="n"/>
      <c r="C245" s="6" t="n"/>
      <c r="D245" s="7" t="n"/>
      <c r="E245" s="8">
        <f>IF($C245="","",IFERROR(VLOOKUP($C245,'4. Produtos'!$A$6:$E$25,3,FALSE),0))</f>
        <v/>
      </c>
      <c r="F245" s="8" t="n"/>
      <c r="G245" s="9" t="n"/>
      <c r="H245" s="9" t="n"/>
      <c r="I245" s="9" t="n"/>
      <c r="J245" s="6" t="n"/>
      <c r="K245" s="10">
        <f>IF(OR($C245="",$D245=""),"",$D245*$E245-N($F245))</f>
        <v/>
      </c>
      <c r="L245" s="11">
        <f>IF(OR($C245="",$D245=""),"",$D245*IFERROR(VLOOKUP($C245,'4. Produtos'!$A$6:$E$25,2,FALSE),0))</f>
        <v/>
      </c>
      <c r="M245" s="10">
        <f>IF(OR($C245="",$D245=""),"",$K245-$L245)</f>
        <v/>
      </c>
      <c r="N245" s="12">
        <f>IF($A245="","",EOMONTH($A245,0))</f>
        <v/>
      </c>
    </row>
    <row r="246">
      <c r="A246" s="5" t="n"/>
      <c r="B246" s="6" t="n"/>
      <c r="C246" s="6" t="n"/>
      <c r="D246" s="7" t="n"/>
      <c r="E246" s="8">
        <f>IF($C246="","",IFERROR(VLOOKUP($C246,'4. Produtos'!$A$6:$E$25,3,FALSE),0))</f>
        <v/>
      </c>
      <c r="F246" s="8" t="n"/>
      <c r="G246" s="9" t="n"/>
      <c r="H246" s="9" t="n"/>
      <c r="I246" s="9" t="n"/>
      <c r="J246" s="6" t="n"/>
      <c r="K246" s="10">
        <f>IF(OR($C246="",$D246=""),"",$D246*$E246-N($F246))</f>
        <v/>
      </c>
      <c r="L246" s="11">
        <f>IF(OR($C246="",$D246=""),"",$D246*IFERROR(VLOOKUP($C246,'4. Produtos'!$A$6:$E$25,2,FALSE),0))</f>
        <v/>
      </c>
      <c r="M246" s="10">
        <f>IF(OR($C246="",$D246=""),"",$K246-$L246)</f>
        <v/>
      </c>
      <c r="N246" s="12">
        <f>IF($A246="","",EOMONTH($A246,0))</f>
        <v/>
      </c>
    </row>
    <row r="247">
      <c r="A247" s="5" t="n"/>
      <c r="B247" s="6" t="n"/>
      <c r="C247" s="6" t="n"/>
      <c r="D247" s="7" t="n"/>
      <c r="E247" s="8">
        <f>IF($C247="","",IFERROR(VLOOKUP($C247,'4. Produtos'!$A$6:$E$25,3,FALSE),0))</f>
        <v/>
      </c>
      <c r="F247" s="8" t="n"/>
      <c r="G247" s="9" t="n"/>
      <c r="H247" s="9" t="n"/>
      <c r="I247" s="9" t="n"/>
      <c r="J247" s="6" t="n"/>
      <c r="K247" s="10">
        <f>IF(OR($C247="",$D247=""),"",$D247*$E247-N($F247))</f>
        <v/>
      </c>
      <c r="L247" s="11">
        <f>IF(OR($C247="",$D247=""),"",$D247*IFERROR(VLOOKUP($C247,'4. Produtos'!$A$6:$E$25,2,FALSE),0))</f>
        <v/>
      </c>
      <c r="M247" s="10">
        <f>IF(OR($C247="",$D247=""),"",$K247-$L247)</f>
        <v/>
      </c>
      <c r="N247" s="12">
        <f>IF($A247="","",EOMONTH($A247,0))</f>
        <v/>
      </c>
    </row>
    <row r="248">
      <c r="A248" s="5" t="n"/>
      <c r="B248" s="6" t="n"/>
      <c r="C248" s="6" t="n"/>
      <c r="D248" s="7" t="n"/>
      <c r="E248" s="8">
        <f>IF($C248="","",IFERROR(VLOOKUP($C248,'4. Produtos'!$A$6:$E$25,3,FALSE),0))</f>
        <v/>
      </c>
      <c r="F248" s="8" t="n"/>
      <c r="G248" s="9" t="n"/>
      <c r="H248" s="9" t="n"/>
      <c r="I248" s="9" t="n"/>
      <c r="J248" s="6" t="n"/>
      <c r="K248" s="10">
        <f>IF(OR($C248="",$D248=""),"",$D248*$E248-N($F248))</f>
        <v/>
      </c>
      <c r="L248" s="11">
        <f>IF(OR($C248="",$D248=""),"",$D248*IFERROR(VLOOKUP($C248,'4. Produtos'!$A$6:$E$25,2,FALSE),0))</f>
        <v/>
      </c>
      <c r="M248" s="10">
        <f>IF(OR($C248="",$D248=""),"",$K248-$L248)</f>
        <v/>
      </c>
      <c r="N248" s="12">
        <f>IF($A248="","",EOMONTH($A248,0))</f>
        <v/>
      </c>
    </row>
    <row r="249">
      <c r="A249" s="5" t="n"/>
      <c r="B249" s="6" t="n"/>
      <c r="C249" s="6" t="n"/>
      <c r="D249" s="7" t="n"/>
      <c r="E249" s="8">
        <f>IF($C249="","",IFERROR(VLOOKUP($C249,'4. Produtos'!$A$6:$E$25,3,FALSE),0))</f>
        <v/>
      </c>
      <c r="F249" s="8" t="n"/>
      <c r="G249" s="9" t="n"/>
      <c r="H249" s="9" t="n"/>
      <c r="I249" s="9" t="n"/>
      <c r="J249" s="6" t="n"/>
      <c r="K249" s="10">
        <f>IF(OR($C249="",$D249=""),"",$D249*$E249-N($F249))</f>
        <v/>
      </c>
      <c r="L249" s="11">
        <f>IF(OR($C249="",$D249=""),"",$D249*IFERROR(VLOOKUP($C249,'4. Produtos'!$A$6:$E$25,2,FALSE),0))</f>
        <v/>
      </c>
      <c r="M249" s="10">
        <f>IF(OR($C249="",$D249=""),"",$K249-$L249)</f>
        <v/>
      </c>
      <c r="N249" s="12">
        <f>IF($A249="","",EOMONTH($A249,0))</f>
        <v/>
      </c>
    </row>
    <row r="250">
      <c r="A250" s="5" t="n"/>
      <c r="B250" s="6" t="n"/>
      <c r="C250" s="6" t="n"/>
      <c r="D250" s="7" t="n"/>
      <c r="E250" s="8">
        <f>IF($C250="","",IFERROR(VLOOKUP($C250,'4. Produtos'!$A$6:$E$25,3,FALSE),0))</f>
        <v/>
      </c>
      <c r="F250" s="8" t="n"/>
      <c r="G250" s="9" t="n"/>
      <c r="H250" s="9" t="n"/>
      <c r="I250" s="9" t="n"/>
      <c r="J250" s="6" t="n"/>
      <c r="K250" s="10">
        <f>IF(OR($C250="",$D250=""),"",$D250*$E250-N($F250))</f>
        <v/>
      </c>
      <c r="L250" s="11">
        <f>IF(OR($C250="",$D250=""),"",$D250*IFERROR(VLOOKUP($C250,'4. Produtos'!$A$6:$E$25,2,FALSE),0))</f>
        <v/>
      </c>
      <c r="M250" s="10">
        <f>IF(OR($C250="",$D250=""),"",$K250-$L250)</f>
        <v/>
      </c>
      <c r="N250" s="12">
        <f>IF($A250="","",EOMONTH($A250,0))</f>
        <v/>
      </c>
    </row>
    <row r="251">
      <c r="A251" s="5" t="n"/>
      <c r="B251" s="6" t="n"/>
      <c r="C251" s="6" t="n"/>
      <c r="D251" s="7" t="n"/>
      <c r="E251" s="8">
        <f>IF($C251="","",IFERROR(VLOOKUP($C251,'4. Produtos'!$A$6:$E$25,3,FALSE),0))</f>
        <v/>
      </c>
      <c r="F251" s="8" t="n"/>
      <c r="G251" s="9" t="n"/>
      <c r="H251" s="9" t="n"/>
      <c r="I251" s="9" t="n"/>
      <c r="J251" s="6" t="n"/>
      <c r="K251" s="10">
        <f>IF(OR($C251="",$D251=""),"",$D251*$E251-N($F251))</f>
        <v/>
      </c>
      <c r="L251" s="11">
        <f>IF(OR($C251="",$D251=""),"",$D251*IFERROR(VLOOKUP($C251,'4. Produtos'!$A$6:$E$25,2,FALSE),0))</f>
        <v/>
      </c>
      <c r="M251" s="10">
        <f>IF(OR($C251="",$D251=""),"",$K251-$L251)</f>
        <v/>
      </c>
      <c r="N251" s="12">
        <f>IF($A251="","",EOMONTH($A251,0))</f>
        <v/>
      </c>
    </row>
    <row r="252">
      <c r="A252" s="5" t="n"/>
      <c r="B252" s="6" t="n"/>
      <c r="C252" s="6" t="n"/>
      <c r="D252" s="7" t="n"/>
      <c r="E252" s="8">
        <f>IF($C252="","",IFERROR(VLOOKUP($C252,'4. Produtos'!$A$6:$E$25,3,FALSE),0))</f>
        <v/>
      </c>
      <c r="F252" s="8" t="n"/>
      <c r="G252" s="9" t="n"/>
      <c r="H252" s="9" t="n"/>
      <c r="I252" s="9" t="n"/>
      <c r="J252" s="6" t="n"/>
      <c r="K252" s="10">
        <f>IF(OR($C252="",$D252=""),"",$D252*$E252-N($F252))</f>
        <v/>
      </c>
      <c r="L252" s="11">
        <f>IF(OR($C252="",$D252=""),"",$D252*IFERROR(VLOOKUP($C252,'4. Produtos'!$A$6:$E$25,2,FALSE),0))</f>
        <v/>
      </c>
      <c r="M252" s="10">
        <f>IF(OR($C252="",$D252=""),"",$K252-$L252)</f>
        <v/>
      </c>
      <c r="N252" s="12">
        <f>IF($A252="","",EOMONTH($A252,0))</f>
        <v/>
      </c>
    </row>
    <row r="253">
      <c r="A253" s="5" t="n"/>
      <c r="B253" s="6" t="n"/>
      <c r="C253" s="6" t="n"/>
      <c r="D253" s="7" t="n"/>
      <c r="E253" s="8">
        <f>IF($C253="","",IFERROR(VLOOKUP($C253,'4. Produtos'!$A$6:$E$25,3,FALSE),0))</f>
        <v/>
      </c>
      <c r="F253" s="8" t="n"/>
      <c r="G253" s="9" t="n"/>
      <c r="H253" s="9" t="n"/>
      <c r="I253" s="9" t="n"/>
      <c r="J253" s="6" t="n"/>
      <c r="K253" s="10">
        <f>IF(OR($C253="",$D253=""),"",$D253*$E253-N($F253))</f>
        <v/>
      </c>
      <c r="L253" s="11">
        <f>IF(OR($C253="",$D253=""),"",$D253*IFERROR(VLOOKUP($C253,'4. Produtos'!$A$6:$E$25,2,FALSE),0))</f>
        <v/>
      </c>
      <c r="M253" s="10">
        <f>IF(OR($C253="",$D253=""),"",$K253-$L253)</f>
        <v/>
      </c>
      <c r="N253" s="12">
        <f>IF($A253="","",EOMONTH($A253,0))</f>
        <v/>
      </c>
    </row>
    <row r="254">
      <c r="A254" s="5" t="n"/>
      <c r="B254" s="6" t="n"/>
      <c r="C254" s="6" t="n"/>
      <c r="D254" s="7" t="n"/>
      <c r="E254" s="8">
        <f>IF($C254="","",IFERROR(VLOOKUP($C254,'4. Produtos'!$A$6:$E$25,3,FALSE),0))</f>
        <v/>
      </c>
      <c r="F254" s="8" t="n"/>
      <c r="G254" s="9" t="n"/>
      <c r="H254" s="9" t="n"/>
      <c r="I254" s="9" t="n"/>
      <c r="J254" s="6" t="n"/>
      <c r="K254" s="10">
        <f>IF(OR($C254="",$D254=""),"",$D254*$E254-N($F254))</f>
        <v/>
      </c>
      <c r="L254" s="11">
        <f>IF(OR($C254="",$D254=""),"",$D254*IFERROR(VLOOKUP($C254,'4. Produtos'!$A$6:$E$25,2,FALSE),0))</f>
        <v/>
      </c>
      <c r="M254" s="10">
        <f>IF(OR($C254="",$D254=""),"",$K254-$L254)</f>
        <v/>
      </c>
      <c r="N254" s="12">
        <f>IF($A254="","",EOMONTH($A254,0))</f>
        <v/>
      </c>
    </row>
    <row r="255">
      <c r="A255" s="5" t="n"/>
      <c r="B255" s="6" t="n"/>
      <c r="C255" s="6" t="n"/>
      <c r="D255" s="7" t="n"/>
      <c r="E255" s="8">
        <f>IF($C255="","",IFERROR(VLOOKUP($C255,'4. Produtos'!$A$6:$E$25,3,FALSE),0))</f>
        <v/>
      </c>
      <c r="F255" s="8" t="n"/>
      <c r="G255" s="9" t="n"/>
      <c r="H255" s="9" t="n"/>
      <c r="I255" s="9" t="n"/>
      <c r="J255" s="6" t="n"/>
      <c r="K255" s="10">
        <f>IF(OR($C255="",$D255=""),"",$D255*$E255-N($F255))</f>
        <v/>
      </c>
      <c r="L255" s="11">
        <f>IF(OR($C255="",$D255=""),"",$D255*IFERROR(VLOOKUP($C255,'4. Produtos'!$A$6:$E$25,2,FALSE),0))</f>
        <v/>
      </c>
      <c r="M255" s="10">
        <f>IF(OR($C255="",$D255=""),"",$K255-$L255)</f>
        <v/>
      </c>
      <c r="N255" s="12">
        <f>IF($A255="","",EOMONTH($A255,0))</f>
        <v/>
      </c>
    </row>
    <row r="256">
      <c r="A256" s="5" t="n"/>
      <c r="B256" s="6" t="n"/>
      <c r="C256" s="6" t="n"/>
      <c r="D256" s="7" t="n"/>
      <c r="E256" s="8">
        <f>IF($C256="","",IFERROR(VLOOKUP($C256,'4. Produtos'!$A$6:$E$25,3,FALSE),0))</f>
        <v/>
      </c>
      <c r="F256" s="8" t="n"/>
      <c r="G256" s="9" t="n"/>
      <c r="H256" s="9" t="n"/>
      <c r="I256" s="9" t="n"/>
      <c r="J256" s="6" t="n"/>
      <c r="K256" s="10">
        <f>IF(OR($C256="",$D256=""),"",$D256*$E256-N($F256))</f>
        <v/>
      </c>
      <c r="L256" s="11">
        <f>IF(OR($C256="",$D256=""),"",$D256*IFERROR(VLOOKUP($C256,'4. Produtos'!$A$6:$E$25,2,FALSE),0))</f>
        <v/>
      </c>
      <c r="M256" s="10">
        <f>IF(OR($C256="",$D256=""),"",$K256-$L256)</f>
        <v/>
      </c>
      <c r="N256" s="12">
        <f>IF($A256="","",EOMONTH($A256,0))</f>
        <v/>
      </c>
    </row>
    <row r="257">
      <c r="A257" s="5" t="n"/>
      <c r="B257" s="6" t="n"/>
      <c r="C257" s="6" t="n"/>
      <c r="D257" s="7" t="n"/>
      <c r="E257" s="8">
        <f>IF($C257="","",IFERROR(VLOOKUP($C257,'4. Produtos'!$A$6:$E$25,3,FALSE),0))</f>
        <v/>
      </c>
      <c r="F257" s="8" t="n"/>
      <c r="G257" s="9" t="n"/>
      <c r="H257" s="9" t="n"/>
      <c r="I257" s="9" t="n"/>
      <c r="J257" s="6" t="n"/>
      <c r="K257" s="10">
        <f>IF(OR($C257="",$D257=""),"",$D257*$E257-N($F257))</f>
        <v/>
      </c>
      <c r="L257" s="11">
        <f>IF(OR($C257="",$D257=""),"",$D257*IFERROR(VLOOKUP($C257,'4. Produtos'!$A$6:$E$25,2,FALSE),0))</f>
        <v/>
      </c>
      <c r="M257" s="10">
        <f>IF(OR($C257="",$D257=""),"",$K257-$L257)</f>
        <v/>
      </c>
      <c r="N257" s="12">
        <f>IF($A257="","",EOMONTH($A257,0))</f>
        <v/>
      </c>
    </row>
    <row r="258">
      <c r="A258" s="5" t="n"/>
      <c r="B258" s="6" t="n"/>
      <c r="C258" s="6" t="n"/>
      <c r="D258" s="7" t="n"/>
      <c r="E258" s="8">
        <f>IF($C258="","",IFERROR(VLOOKUP($C258,'4. Produtos'!$A$6:$E$25,3,FALSE),0))</f>
        <v/>
      </c>
      <c r="F258" s="8" t="n"/>
      <c r="G258" s="9" t="n"/>
      <c r="H258" s="9" t="n"/>
      <c r="I258" s="9" t="n"/>
      <c r="J258" s="6" t="n"/>
      <c r="K258" s="10">
        <f>IF(OR($C258="",$D258=""),"",$D258*$E258-N($F258))</f>
        <v/>
      </c>
      <c r="L258" s="11">
        <f>IF(OR($C258="",$D258=""),"",$D258*IFERROR(VLOOKUP($C258,'4. Produtos'!$A$6:$E$25,2,FALSE),0))</f>
        <v/>
      </c>
      <c r="M258" s="10">
        <f>IF(OR($C258="",$D258=""),"",$K258-$L258)</f>
        <v/>
      </c>
      <c r="N258" s="12">
        <f>IF($A258="","",EOMONTH($A258,0))</f>
        <v/>
      </c>
    </row>
    <row r="259">
      <c r="A259" s="5" t="n"/>
      <c r="B259" s="6" t="n"/>
      <c r="C259" s="6" t="n"/>
      <c r="D259" s="7" t="n"/>
      <c r="E259" s="8">
        <f>IF($C259="","",IFERROR(VLOOKUP($C259,'4. Produtos'!$A$6:$E$25,3,FALSE),0))</f>
        <v/>
      </c>
      <c r="F259" s="8" t="n"/>
      <c r="G259" s="9" t="n"/>
      <c r="H259" s="9" t="n"/>
      <c r="I259" s="9" t="n"/>
      <c r="J259" s="6" t="n"/>
      <c r="K259" s="10">
        <f>IF(OR($C259="",$D259=""),"",$D259*$E259-N($F259))</f>
        <v/>
      </c>
      <c r="L259" s="11">
        <f>IF(OR($C259="",$D259=""),"",$D259*IFERROR(VLOOKUP($C259,'4. Produtos'!$A$6:$E$25,2,FALSE),0))</f>
        <v/>
      </c>
      <c r="M259" s="10">
        <f>IF(OR($C259="",$D259=""),"",$K259-$L259)</f>
        <v/>
      </c>
      <c r="N259" s="12">
        <f>IF($A259="","",EOMONTH($A259,0))</f>
        <v/>
      </c>
    </row>
    <row r="260">
      <c r="A260" s="5" t="n"/>
      <c r="B260" s="6" t="n"/>
      <c r="C260" s="6" t="n"/>
      <c r="D260" s="7" t="n"/>
      <c r="E260" s="8">
        <f>IF($C260="","",IFERROR(VLOOKUP($C260,'4. Produtos'!$A$6:$E$25,3,FALSE),0))</f>
        <v/>
      </c>
      <c r="F260" s="8" t="n"/>
      <c r="G260" s="9" t="n"/>
      <c r="H260" s="9" t="n"/>
      <c r="I260" s="9" t="n"/>
      <c r="J260" s="6" t="n"/>
      <c r="K260" s="10">
        <f>IF(OR($C260="",$D260=""),"",$D260*$E260-N($F260))</f>
        <v/>
      </c>
      <c r="L260" s="11">
        <f>IF(OR($C260="",$D260=""),"",$D260*IFERROR(VLOOKUP($C260,'4. Produtos'!$A$6:$E$25,2,FALSE),0))</f>
        <v/>
      </c>
      <c r="M260" s="10">
        <f>IF(OR($C260="",$D260=""),"",$K260-$L260)</f>
        <v/>
      </c>
      <c r="N260" s="12">
        <f>IF($A260="","",EOMONTH($A260,0))</f>
        <v/>
      </c>
    </row>
    <row r="261">
      <c r="A261" s="5" t="n"/>
      <c r="B261" s="6" t="n"/>
      <c r="C261" s="6" t="n"/>
      <c r="D261" s="7" t="n"/>
      <c r="E261" s="8">
        <f>IF($C261="","",IFERROR(VLOOKUP($C261,'4. Produtos'!$A$6:$E$25,3,FALSE),0))</f>
        <v/>
      </c>
      <c r="F261" s="8" t="n"/>
      <c r="G261" s="9" t="n"/>
      <c r="H261" s="9" t="n"/>
      <c r="I261" s="9" t="n"/>
      <c r="J261" s="6" t="n"/>
      <c r="K261" s="10">
        <f>IF(OR($C261="",$D261=""),"",$D261*$E261-N($F261))</f>
        <v/>
      </c>
      <c r="L261" s="11">
        <f>IF(OR($C261="",$D261=""),"",$D261*IFERROR(VLOOKUP($C261,'4. Produtos'!$A$6:$E$25,2,FALSE),0))</f>
        <v/>
      </c>
      <c r="M261" s="10">
        <f>IF(OR($C261="",$D261=""),"",$K261-$L261)</f>
        <v/>
      </c>
      <c r="N261" s="12">
        <f>IF($A261="","",EOMONTH($A261,0))</f>
        <v/>
      </c>
    </row>
    <row r="262">
      <c r="A262" s="5" t="n"/>
      <c r="B262" s="6" t="n"/>
      <c r="C262" s="6" t="n"/>
      <c r="D262" s="7" t="n"/>
      <c r="E262" s="8">
        <f>IF($C262="","",IFERROR(VLOOKUP($C262,'4. Produtos'!$A$6:$E$25,3,FALSE),0))</f>
        <v/>
      </c>
      <c r="F262" s="8" t="n"/>
      <c r="G262" s="9" t="n"/>
      <c r="H262" s="9" t="n"/>
      <c r="I262" s="9" t="n"/>
      <c r="J262" s="6" t="n"/>
      <c r="K262" s="10">
        <f>IF(OR($C262="",$D262=""),"",$D262*$E262-N($F262))</f>
        <v/>
      </c>
      <c r="L262" s="11">
        <f>IF(OR($C262="",$D262=""),"",$D262*IFERROR(VLOOKUP($C262,'4. Produtos'!$A$6:$E$25,2,FALSE),0))</f>
        <v/>
      </c>
      <c r="M262" s="10">
        <f>IF(OR($C262="",$D262=""),"",$K262-$L262)</f>
        <v/>
      </c>
      <c r="N262" s="12">
        <f>IF($A262="","",EOMONTH($A262,0))</f>
        <v/>
      </c>
    </row>
    <row r="263">
      <c r="A263" s="5" t="n"/>
      <c r="B263" s="6" t="n"/>
      <c r="C263" s="6" t="n"/>
      <c r="D263" s="7" t="n"/>
      <c r="E263" s="8">
        <f>IF($C263="","",IFERROR(VLOOKUP($C263,'4. Produtos'!$A$6:$E$25,3,FALSE),0))</f>
        <v/>
      </c>
      <c r="F263" s="8" t="n"/>
      <c r="G263" s="9" t="n"/>
      <c r="H263" s="9" t="n"/>
      <c r="I263" s="9" t="n"/>
      <c r="J263" s="6" t="n"/>
      <c r="K263" s="10">
        <f>IF(OR($C263="",$D263=""),"",$D263*$E263-N($F263))</f>
        <v/>
      </c>
      <c r="L263" s="11">
        <f>IF(OR($C263="",$D263=""),"",$D263*IFERROR(VLOOKUP($C263,'4. Produtos'!$A$6:$E$25,2,FALSE),0))</f>
        <v/>
      </c>
      <c r="M263" s="10">
        <f>IF(OR($C263="",$D263=""),"",$K263-$L263)</f>
        <v/>
      </c>
      <c r="N263" s="12">
        <f>IF($A263="","",EOMONTH($A263,0))</f>
        <v/>
      </c>
    </row>
    <row r="264">
      <c r="A264" s="5" t="n"/>
      <c r="B264" s="6" t="n"/>
      <c r="C264" s="6" t="n"/>
      <c r="D264" s="7" t="n"/>
      <c r="E264" s="8">
        <f>IF($C264="","",IFERROR(VLOOKUP($C264,'4. Produtos'!$A$6:$E$25,3,FALSE),0))</f>
        <v/>
      </c>
      <c r="F264" s="8" t="n"/>
      <c r="G264" s="9" t="n"/>
      <c r="H264" s="9" t="n"/>
      <c r="I264" s="9" t="n"/>
      <c r="J264" s="6" t="n"/>
      <c r="K264" s="10">
        <f>IF(OR($C264="",$D264=""),"",$D264*$E264-N($F264))</f>
        <v/>
      </c>
      <c r="L264" s="11">
        <f>IF(OR($C264="",$D264=""),"",$D264*IFERROR(VLOOKUP($C264,'4. Produtos'!$A$6:$E$25,2,FALSE),0))</f>
        <v/>
      </c>
      <c r="M264" s="10">
        <f>IF(OR($C264="",$D264=""),"",$K264-$L264)</f>
        <v/>
      </c>
      <c r="N264" s="12">
        <f>IF($A264="","",EOMONTH($A264,0))</f>
        <v/>
      </c>
    </row>
    <row r="265">
      <c r="A265" s="5" t="n"/>
      <c r="B265" s="6" t="n"/>
      <c r="C265" s="6" t="n"/>
      <c r="D265" s="7" t="n"/>
      <c r="E265" s="8">
        <f>IF($C265="","",IFERROR(VLOOKUP($C265,'4. Produtos'!$A$6:$E$25,3,FALSE),0))</f>
        <v/>
      </c>
      <c r="F265" s="8" t="n"/>
      <c r="G265" s="9" t="n"/>
      <c r="H265" s="9" t="n"/>
      <c r="I265" s="9" t="n"/>
      <c r="J265" s="6" t="n"/>
      <c r="K265" s="10">
        <f>IF(OR($C265="",$D265=""),"",$D265*$E265-N($F265))</f>
        <v/>
      </c>
      <c r="L265" s="11">
        <f>IF(OR($C265="",$D265=""),"",$D265*IFERROR(VLOOKUP($C265,'4. Produtos'!$A$6:$E$25,2,FALSE),0))</f>
        <v/>
      </c>
      <c r="M265" s="10">
        <f>IF(OR($C265="",$D265=""),"",$K265-$L265)</f>
        <v/>
      </c>
      <c r="N265" s="12">
        <f>IF($A265="","",EOMONTH($A265,0))</f>
        <v/>
      </c>
    </row>
    <row r="266">
      <c r="A266" s="5" t="n"/>
      <c r="B266" s="6" t="n"/>
      <c r="C266" s="6" t="n"/>
      <c r="D266" s="7" t="n"/>
      <c r="E266" s="8">
        <f>IF($C266="","",IFERROR(VLOOKUP($C266,'4. Produtos'!$A$6:$E$25,3,FALSE),0))</f>
        <v/>
      </c>
      <c r="F266" s="8" t="n"/>
      <c r="G266" s="9" t="n"/>
      <c r="H266" s="9" t="n"/>
      <c r="I266" s="9" t="n"/>
      <c r="J266" s="6" t="n"/>
      <c r="K266" s="10">
        <f>IF(OR($C266="",$D266=""),"",$D266*$E266-N($F266))</f>
        <v/>
      </c>
      <c r="L266" s="11">
        <f>IF(OR($C266="",$D266=""),"",$D266*IFERROR(VLOOKUP($C266,'4. Produtos'!$A$6:$E$25,2,FALSE),0))</f>
        <v/>
      </c>
      <c r="M266" s="10">
        <f>IF(OR($C266="",$D266=""),"",$K266-$L266)</f>
        <v/>
      </c>
      <c r="N266" s="12">
        <f>IF($A266="","",EOMONTH($A266,0))</f>
        <v/>
      </c>
    </row>
    <row r="267">
      <c r="A267" s="5" t="n"/>
      <c r="B267" s="6" t="n"/>
      <c r="C267" s="6" t="n"/>
      <c r="D267" s="7" t="n"/>
      <c r="E267" s="8">
        <f>IF($C267="","",IFERROR(VLOOKUP($C267,'4. Produtos'!$A$6:$E$25,3,FALSE),0))</f>
        <v/>
      </c>
      <c r="F267" s="8" t="n"/>
      <c r="G267" s="9" t="n"/>
      <c r="H267" s="9" t="n"/>
      <c r="I267" s="9" t="n"/>
      <c r="J267" s="6" t="n"/>
      <c r="K267" s="10">
        <f>IF(OR($C267="",$D267=""),"",$D267*$E267-N($F267))</f>
        <v/>
      </c>
      <c r="L267" s="11">
        <f>IF(OR($C267="",$D267=""),"",$D267*IFERROR(VLOOKUP($C267,'4. Produtos'!$A$6:$E$25,2,FALSE),0))</f>
        <v/>
      </c>
      <c r="M267" s="10">
        <f>IF(OR($C267="",$D267=""),"",$K267-$L267)</f>
        <v/>
      </c>
      <c r="N267" s="12">
        <f>IF($A267="","",EOMONTH($A267,0))</f>
        <v/>
      </c>
    </row>
    <row r="268">
      <c r="A268" s="5" t="n"/>
      <c r="B268" s="6" t="n"/>
      <c r="C268" s="6" t="n"/>
      <c r="D268" s="7" t="n"/>
      <c r="E268" s="8">
        <f>IF($C268="","",IFERROR(VLOOKUP($C268,'4. Produtos'!$A$6:$E$25,3,FALSE),0))</f>
        <v/>
      </c>
      <c r="F268" s="8" t="n"/>
      <c r="G268" s="9" t="n"/>
      <c r="H268" s="9" t="n"/>
      <c r="I268" s="9" t="n"/>
      <c r="J268" s="6" t="n"/>
      <c r="K268" s="10">
        <f>IF(OR($C268="",$D268=""),"",$D268*$E268-N($F268))</f>
        <v/>
      </c>
      <c r="L268" s="11">
        <f>IF(OR($C268="",$D268=""),"",$D268*IFERROR(VLOOKUP($C268,'4. Produtos'!$A$6:$E$25,2,FALSE),0))</f>
        <v/>
      </c>
      <c r="M268" s="10">
        <f>IF(OR($C268="",$D268=""),"",$K268-$L268)</f>
        <v/>
      </c>
      <c r="N268" s="12">
        <f>IF($A268="","",EOMONTH($A268,0))</f>
        <v/>
      </c>
    </row>
    <row r="269">
      <c r="A269" s="5" t="n"/>
      <c r="B269" s="6" t="n"/>
      <c r="C269" s="6" t="n"/>
      <c r="D269" s="7" t="n"/>
      <c r="E269" s="8">
        <f>IF($C269="","",IFERROR(VLOOKUP($C269,'4. Produtos'!$A$6:$E$25,3,FALSE),0))</f>
        <v/>
      </c>
      <c r="F269" s="8" t="n"/>
      <c r="G269" s="9" t="n"/>
      <c r="H269" s="9" t="n"/>
      <c r="I269" s="9" t="n"/>
      <c r="J269" s="6" t="n"/>
      <c r="K269" s="10">
        <f>IF(OR($C269="",$D269=""),"",$D269*$E269-N($F269))</f>
        <v/>
      </c>
      <c r="L269" s="11">
        <f>IF(OR($C269="",$D269=""),"",$D269*IFERROR(VLOOKUP($C269,'4. Produtos'!$A$6:$E$25,2,FALSE),0))</f>
        <v/>
      </c>
      <c r="M269" s="10">
        <f>IF(OR($C269="",$D269=""),"",$K269-$L269)</f>
        <v/>
      </c>
      <c r="N269" s="12">
        <f>IF($A269="","",EOMONTH($A269,0))</f>
        <v/>
      </c>
    </row>
    <row r="270">
      <c r="A270" s="5" t="n"/>
      <c r="B270" s="6" t="n"/>
      <c r="C270" s="6" t="n"/>
      <c r="D270" s="7" t="n"/>
      <c r="E270" s="8">
        <f>IF($C270="","",IFERROR(VLOOKUP($C270,'4. Produtos'!$A$6:$E$25,3,FALSE),0))</f>
        <v/>
      </c>
      <c r="F270" s="8" t="n"/>
      <c r="G270" s="9" t="n"/>
      <c r="H270" s="9" t="n"/>
      <c r="I270" s="9" t="n"/>
      <c r="J270" s="6" t="n"/>
      <c r="K270" s="10">
        <f>IF(OR($C270="",$D270=""),"",$D270*$E270-N($F270))</f>
        <v/>
      </c>
      <c r="L270" s="11">
        <f>IF(OR($C270="",$D270=""),"",$D270*IFERROR(VLOOKUP($C270,'4. Produtos'!$A$6:$E$25,2,FALSE),0))</f>
        <v/>
      </c>
      <c r="M270" s="10">
        <f>IF(OR($C270="",$D270=""),"",$K270-$L270)</f>
        <v/>
      </c>
      <c r="N270" s="12">
        <f>IF($A270="","",EOMONTH($A270,0))</f>
        <v/>
      </c>
    </row>
    <row r="271">
      <c r="A271" s="5" t="n"/>
      <c r="B271" s="6" t="n"/>
      <c r="C271" s="6" t="n"/>
      <c r="D271" s="7" t="n"/>
      <c r="E271" s="8">
        <f>IF($C271="","",IFERROR(VLOOKUP($C271,'4. Produtos'!$A$6:$E$25,3,FALSE),0))</f>
        <v/>
      </c>
      <c r="F271" s="8" t="n"/>
      <c r="G271" s="9" t="n"/>
      <c r="H271" s="9" t="n"/>
      <c r="I271" s="9" t="n"/>
      <c r="J271" s="6" t="n"/>
      <c r="K271" s="10">
        <f>IF(OR($C271="",$D271=""),"",$D271*$E271-N($F271))</f>
        <v/>
      </c>
      <c r="L271" s="11">
        <f>IF(OR($C271="",$D271=""),"",$D271*IFERROR(VLOOKUP($C271,'4. Produtos'!$A$6:$E$25,2,FALSE),0))</f>
        <v/>
      </c>
      <c r="M271" s="10">
        <f>IF(OR($C271="",$D271=""),"",$K271-$L271)</f>
        <v/>
      </c>
      <c r="N271" s="12">
        <f>IF($A271="","",EOMONTH($A271,0))</f>
        <v/>
      </c>
    </row>
    <row r="272">
      <c r="A272" s="5" t="n"/>
      <c r="B272" s="6" t="n"/>
      <c r="C272" s="6" t="n"/>
      <c r="D272" s="7" t="n"/>
      <c r="E272" s="8">
        <f>IF($C272="","",IFERROR(VLOOKUP($C272,'4. Produtos'!$A$6:$E$25,3,FALSE),0))</f>
        <v/>
      </c>
      <c r="F272" s="8" t="n"/>
      <c r="G272" s="9" t="n"/>
      <c r="H272" s="9" t="n"/>
      <c r="I272" s="9" t="n"/>
      <c r="J272" s="6" t="n"/>
      <c r="K272" s="10">
        <f>IF(OR($C272="",$D272=""),"",$D272*$E272-N($F272))</f>
        <v/>
      </c>
      <c r="L272" s="11">
        <f>IF(OR($C272="",$D272=""),"",$D272*IFERROR(VLOOKUP($C272,'4. Produtos'!$A$6:$E$25,2,FALSE),0))</f>
        <v/>
      </c>
      <c r="M272" s="10">
        <f>IF(OR($C272="",$D272=""),"",$K272-$L272)</f>
        <v/>
      </c>
      <c r="N272" s="12">
        <f>IF($A272="","",EOMONTH($A272,0))</f>
        <v/>
      </c>
    </row>
    <row r="273">
      <c r="A273" s="5" t="n"/>
      <c r="B273" s="6" t="n"/>
      <c r="C273" s="6" t="n"/>
      <c r="D273" s="7" t="n"/>
      <c r="E273" s="8">
        <f>IF($C273="","",IFERROR(VLOOKUP($C273,'4. Produtos'!$A$6:$E$25,3,FALSE),0))</f>
        <v/>
      </c>
      <c r="F273" s="8" t="n"/>
      <c r="G273" s="9" t="n"/>
      <c r="H273" s="9" t="n"/>
      <c r="I273" s="9" t="n"/>
      <c r="J273" s="6" t="n"/>
      <c r="K273" s="10">
        <f>IF(OR($C273="",$D273=""),"",$D273*$E273-N($F273))</f>
        <v/>
      </c>
      <c r="L273" s="11">
        <f>IF(OR($C273="",$D273=""),"",$D273*IFERROR(VLOOKUP($C273,'4. Produtos'!$A$6:$E$25,2,FALSE),0))</f>
        <v/>
      </c>
      <c r="M273" s="10">
        <f>IF(OR($C273="",$D273=""),"",$K273-$L273)</f>
        <v/>
      </c>
      <c r="N273" s="12">
        <f>IF($A273="","",EOMONTH($A273,0))</f>
        <v/>
      </c>
    </row>
    <row r="274">
      <c r="A274" s="5" t="n"/>
      <c r="B274" s="6" t="n"/>
      <c r="C274" s="6" t="n"/>
      <c r="D274" s="7" t="n"/>
      <c r="E274" s="8">
        <f>IF($C274="","",IFERROR(VLOOKUP($C274,'4. Produtos'!$A$6:$E$25,3,FALSE),0))</f>
        <v/>
      </c>
      <c r="F274" s="8" t="n"/>
      <c r="G274" s="9" t="n"/>
      <c r="H274" s="9" t="n"/>
      <c r="I274" s="9" t="n"/>
      <c r="J274" s="6" t="n"/>
      <c r="K274" s="10">
        <f>IF(OR($C274="",$D274=""),"",$D274*$E274-N($F274))</f>
        <v/>
      </c>
      <c r="L274" s="11">
        <f>IF(OR($C274="",$D274=""),"",$D274*IFERROR(VLOOKUP($C274,'4. Produtos'!$A$6:$E$25,2,FALSE),0))</f>
        <v/>
      </c>
      <c r="M274" s="10">
        <f>IF(OR($C274="",$D274=""),"",$K274-$L274)</f>
        <v/>
      </c>
      <c r="N274" s="12">
        <f>IF($A274="","",EOMONTH($A274,0))</f>
        <v/>
      </c>
    </row>
    <row r="275">
      <c r="A275" s="5" t="n"/>
      <c r="B275" s="6" t="n"/>
      <c r="C275" s="6" t="n"/>
      <c r="D275" s="7" t="n"/>
      <c r="E275" s="8">
        <f>IF($C275="","",IFERROR(VLOOKUP($C275,'4. Produtos'!$A$6:$E$25,3,FALSE),0))</f>
        <v/>
      </c>
      <c r="F275" s="8" t="n"/>
      <c r="G275" s="9" t="n"/>
      <c r="H275" s="9" t="n"/>
      <c r="I275" s="9" t="n"/>
      <c r="J275" s="6" t="n"/>
      <c r="K275" s="10">
        <f>IF(OR($C275="",$D275=""),"",$D275*$E275-N($F275))</f>
        <v/>
      </c>
      <c r="L275" s="11">
        <f>IF(OR($C275="",$D275=""),"",$D275*IFERROR(VLOOKUP($C275,'4. Produtos'!$A$6:$E$25,2,FALSE),0))</f>
        <v/>
      </c>
      <c r="M275" s="10">
        <f>IF(OR($C275="",$D275=""),"",$K275-$L275)</f>
        <v/>
      </c>
      <c r="N275" s="12">
        <f>IF($A275="","",EOMONTH($A275,0))</f>
        <v/>
      </c>
    </row>
    <row r="276">
      <c r="A276" s="5" t="n"/>
      <c r="B276" s="6" t="n"/>
      <c r="C276" s="6" t="n"/>
      <c r="D276" s="7" t="n"/>
      <c r="E276" s="8">
        <f>IF($C276="","",IFERROR(VLOOKUP($C276,'4. Produtos'!$A$6:$E$25,3,FALSE),0))</f>
        <v/>
      </c>
      <c r="F276" s="8" t="n"/>
      <c r="G276" s="9" t="n"/>
      <c r="H276" s="9" t="n"/>
      <c r="I276" s="9" t="n"/>
      <c r="J276" s="6" t="n"/>
      <c r="K276" s="10">
        <f>IF(OR($C276="",$D276=""),"",$D276*$E276-N($F276))</f>
        <v/>
      </c>
      <c r="L276" s="11">
        <f>IF(OR($C276="",$D276=""),"",$D276*IFERROR(VLOOKUP($C276,'4. Produtos'!$A$6:$E$25,2,FALSE),0))</f>
        <v/>
      </c>
      <c r="M276" s="10">
        <f>IF(OR($C276="",$D276=""),"",$K276-$L276)</f>
        <v/>
      </c>
      <c r="N276" s="12">
        <f>IF($A276="","",EOMONTH($A276,0))</f>
        <v/>
      </c>
    </row>
    <row r="277">
      <c r="A277" s="5" t="n"/>
      <c r="B277" s="6" t="n"/>
      <c r="C277" s="6" t="n"/>
      <c r="D277" s="7" t="n"/>
      <c r="E277" s="8">
        <f>IF($C277="","",IFERROR(VLOOKUP($C277,'4. Produtos'!$A$6:$E$25,3,FALSE),0))</f>
        <v/>
      </c>
      <c r="F277" s="8" t="n"/>
      <c r="G277" s="9" t="n"/>
      <c r="H277" s="9" t="n"/>
      <c r="I277" s="9" t="n"/>
      <c r="J277" s="6" t="n"/>
      <c r="K277" s="10">
        <f>IF(OR($C277="",$D277=""),"",$D277*$E277-N($F277))</f>
        <v/>
      </c>
      <c r="L277" s="11">
        <f>IF(OR($C277="",$D277=""),"",$D277*IFERROR(VLOOKUP($C277,'4. Produtos'!$A$6:$E$25,2,FALSE),0))</f>
        <v/>
      </c>
      <c r="M277" s="10">
        <f>IF(OR($C277="",$D277=""),"",$K277-$L277)</f>
        <v/>
      </c>
      <c r="N277" s="12">
        <f>IF($A277="","",EOMONTH($A277,0))</f>
        <v/>
      </c>
    </row>
    <row r="278">
      <c r="A278" s="5" t="n"/>
      <c r="B278" s="6" t="n"/>
      <c r="C278" s="6" t="n"/>
      <c r="D278" s="7" t="n"/>
      <c r="E278" s="8">
        <f>IF($C278="","",IFERROR(VLOOKUP($C278,'4. Produtos'!$A$6:$E$25,3,FALSE),0))</f>
        <v/>
      </c>
      <c r="F278" s="8" t="n"/>
      <c r="G278" s="9" t="n"/>
      <c r="H278" s="9" t="n"/>
      <c r="I278" s="9" t="n"/>
      <c r="J278" s="6" t="n"/>
      <c r="K278" s="10">
        <f>IF(OR($C278="",$D278=""),"",$D278*$E278-N($F278))</f>
        <v/>
      </c>
      <c r="L278" s="11">
        <f>IF(OR($C278="",$D278=""),"",$D278*IFERROR(VLOOKUP($C278,'4. Produtos'!$A$6:$E$25,2,FALSE),0))</f>
        <v/>
      </c>
      <c r="M278" s="10">
        <f>IF(OR($C278="",$D278=""),"",$K278-$L278)</f>
        <v/>
      </c>
      <c r="N278" s="12">
        <f>IF($A278="","",EOMONTH($A278,0))</f>
        <v/>
      </c>
    </row>
    <row r="279">
      <c r="A279" s="5" t="n"/>
      <c r="B279" s="6" t="n"/>
      <c r="C279" s="6" t="n"/>
      <c r="D279" s="7" t="n"/>
      <c r="E279" s="8">
        <f>IF($C279="","",IFERROR(VLOOKUP($C279,'4. Produtos'!$A$6:$E$25,3,FALSE),0))</f>
        <v/>
      </c>
      <c r="F279" s="8" t="n"/>
      <c r="G279" s="9" t="n"/>
      <c r="H279" s="9" t="n"/>
      <c r="I279" s="9" t="n"/>
      <c r="J279" s="6" t="n"/>
      <c r="K279" s="10">
        <f>IF(OR($C279="",$D279=""),"",$D279*$E279-N($F279))</f>
        <v/>
      </c>
      <c r="L279" s="11">
        <f>IF(OR($C279="",$D279=""),"",$D279*IFERROR(VLOOKUP($C279,'4. Produtos'!$A$6:$E$25,2,FALSE),0))</f>
        <v/>
      </c>
      <c r="M279" s="10">
        <f>IF(OR($C279="",$D279=""),"",$K279-$L279)</f>
        <v/>
      </c>
      <c r="N279" s="12">
        <f>IF($A279="","",EOMONTH($A279,0))</f>
        <v/>
      </c>
    </row>
    <row r="280">
      <c r="A280" s="5" t="n"/>
      <c r="B280" s="6" t="n"/>
      <c r="C280" s="6" t="n"/>
      <c r="D280" s="7" t="n"/>
      <c r="E280" s="8">
        <f>IF($C280="","",IFERROR(VLOOKUP($C280,'4. Produtos'!$A$6:$E$25,3,FALSE),0))</f>
        <v/>
      </c>
      <c r="F280" s="8" t="n"/>
      <c r="G280" s="9" t="n"/>
      <c r="H280" s="9" t="n"/>
      <c r="I280" s="9" t="n"/>
      <c r="J280" s="6" t="n"/>
      <c r="K280" s="10">
        <f>IF(OR($C280="",$D280=""),"",$D280*$E280-N($F280))</f>
        <v/>
      </c>
      <c r="L280" s="11">
        <f>IF(OR($C280="",$D280=""),"",$D280*IFERROR(VLOOKUP($C280,'4. Produtos'!$A$6:$E$25,2,FALSE),0))</f>
        <v/>
      </c>
      <c r="M280" s="10">
        <f>IF(OR($C280="",$D280=""),"",$K280-$L280)</f>
        <v/>
      </c>
      <c r="N280" s="12">
        <f>IF($A280="","",EOMONTH($A280,0))</f>
        <v/>
      </c>
    </row>
    <row r="281">
      <c r="A281" s="5" t="n"/>
      <c r="B281" s="6" t="n"/>
      <c r="C281" s="6" t="n"/>
      <c r="D281" s="7" t="n"/>
      <c r="E281" s="8">
        <f>IF($C281="","",IFERROR(VLOOKUP($C281,'4. Produtos'!$A$6:$E$25,3,FALSE),0))</f>
        <v/>
      </c>
      <c r="F281" s="8" t="n"/>
      <c r="G281" s="9" t="n"/>
      <c r="H281" s="9" t="n"/>
      <c r="I281" s="9" t="n"/>
      <c r="J281" s="6" t="n"/>
      <c r="K281" s="10">
        <f>IF(OR($C281="",$D281=""),"",$D281*$E281-N($F281))</f>
        <v/>
      </c>
      <c r="L281" s="11">
        <f>IF(OR($C281="",$D281=""),"",$D281*IFERROR(VLOOKUP($C281,'4. Produtos'!$A$6:$E$25,2,FALSE),0))</f>
        <v/>
      </c>
      <c r="M281" s="10">
        <f>IF(OR($C281="",$D281=""),"",$K281-$L281)</f>
        <v/>
      </c>
      <c r="N281" s="12">
        <f>IF($A281="","",EOMONTH($A281,0))</f>
        <v/>
      </c>
    </row>
    <row r="282">
      <c r="A282" s="5" t="n"/>
      <c r="B282" s="6" t="n"/>
      <c r="C282" s="6" t="n"/>
      <c r="D282" s="7" t="n"/>
      <c r="E282" s="8">
        <f>IF($C282="","",IFERROR(VLOOKUP($C282,'4. Produtos'!$A$6:$E$25,3,FALSE),0))</f>
        <v/>
      </c>
      <c r="F282" s="8" t="n"/>
      <c r="G282" s="9" t="n"/>
      <c r="H282" s="9" t="n"/>
      <c r="I282" s="9" t="n"/>
      <c r="J282" s="6" t="n"/>
      <c r="K282" s="10">
        <f>IF(OR($C282="",$D282=""),"",$D282*$E282-N($F282))</f>
        <v/>
      </c>
      <c r="L282" s="11">
        <f>IF(OR($C282="",$D282=""),"",$D282*IFERROR(VLOOKUP($C282,'4. Produtos'!$A$6:$E$25,2,FALSE),0))</f>
        <v/>
      </c>
      <c r="M282" s="10">
        <f>IF(OR($C282="",$D282=""),"",$K282-$L282)</f>
        <v/>
      </c>
      <c r="N282" s="12">
        <f>IF($A282="","",EOMONTH($A282,0))</f>
        <v/>
      </c>
    </row>
    <row r="283">
      <c r="A283" s="5" t="n"/>
      <c r="B283" s="6" t="n"/>
      <c r="C283" s="6" t="n"/>
      <c r="D283" s="7" t="n"/>
      <c r="E283" s="8">
        <f>IF($C283="","",IFERROR(VLOOKUP($C283,'4. Produtos'!$A$6:$E$25,3,FALSE),0))</f>
        <v/>
      </c>
      <c r="F283" s="8" t="n"/>
      <c r="G283" s="9" t="n"/>
      <c r="H283" s="9" t="n"/>
      <c r="I283" s="9" t="n"/>
      <c r="J283" s="6" t="n"/>
      <c r="K283" s="10">
        <f>IF(OR($C283="",$D283=""),"",$D283*$E283-N($F283))</f>
        <v/>
      </c>
      <c r="L283" s="11">
        <f>IF(OR($C283="",$D283=""),"",$D283*IFERROR(VLOOKUP($C283,'4. Produtos'!$A$6:$E$25,2,FALSE),0))</f>
        <v/>
      </c>
      <c r="M283" s="10">
        <f>IF(OR($C283="",$D283=""),"",$K283-$L283)</f>
        <v/>
      </c>
      <c r="N283" s="12">
        <f>IF($A283="","",EOMONTH($A283,0))</f>
        <v/>
      </c>
    </row>
    <row r="284">
      <c r="A284" s="5" t="n"/>
      <c r="B284" s="6" t="n"/>
      <c r="C284" s="6" t="n"/>
      <c r="D284" s="7" t="n"/>
      <c r="E284" s="8">
        <f>IF($C284="","",IFERROR(VLOOKUP($C284,'4. Produtos'!$A$6:$E$25,3,FALSE),0))</f>
        <v/>
      </c>
      <c r="F284" s="8" t="n"/>
      <c r="G284" s="9" t="n"/>
      <c r="H284" s="9" t="n"/>
      <c r="I284" s="9" t="n"/>
      <c r="J284" s="6" t="n"/>
      <c r="K284" s="10">
        <f>IF(OR($C284="",$D284=""),"",$D284*$E284-N($F284))</f>
        <v/>
      </c>
      <c r="L284" s="11">
        <f>IF(OR($C284="",$D284=""),"",$D284*IFERROR(VLOOKUP($C284,'4. Produtos'!$A$6:$E$25,2,FALSE),0))</f>
        <v/>
      </c>
      <c r="M284" s="10">
        <f>IF(OR($C284="",$D284=""),"",$K284-$L284)</f>
        <v/>
      </c>
      <c r="N284" s="12">
        <f>IF($A284="","",EOMONTH($A284,0))</f>
        <v/>
      </c>
    </row>
    <row r="285">
      <c r="A285" s="5" t="n"/>
      <c r="B285" s="6" t="n"/>
      <c r="C285" s="6" t="n"/>
      <c r="D285" s="7" t="n"/>
      <c r="E285" s="8">
        <f>IF($C285="","",IFERROR(VLOOKUP($C285,'4. Produtos'!$A$6:$E$25,3,FALSE),0))</f>
        <v/>
      </c>
      <c r="F285" s="8" t="n"/>
      <c r="G285" s="9" t="n"/>
      <c r="H285" s="9" t="n"/>
      <c r="I285" s="9" t="n"/>
      <c r="J285" s="6" t="n"/>
      <c r="K285" s="10">
        <f>IF(OR($C285="",$D285=""),"",$D285*$E285-N($F285))</f>
        <v/>
      </c>
      <c r="L285" s="11">
        <f>IF(OR($C285="",$D285=""),"",$D285*IFERROR(VLOOKUP($C285,'4. Produtos'!$A$6:$E$25,2,FALSE),0))</f>
        <v/>
      </c>
      <c r="M285" s="10">
        <f>IF(OR($C285="",$D285=""),"",$K285-$L285)</f>
        <v/>
      </c>
      <c r="N285" s="12">
        <f>IF($A285="","",EOMONTH($A285,0))</f>
        <v/>
      </c>
    </row>
    <row r="286">
      <c r="A286" s="5" t="n"/>
      <c r="B286" s="6" t="n"/>
      <c r="C286" s="6" t="n"/>
      <c r="D286" s="7" t="n"/>
      <c r="E286" s="8">
        <f>IF($C286="","",IFERROR(VLOOKUP($C286,'4. Produtos'!$A$6:$E$25,3,FALSE),0))</f>
        <v/>
      </c>
      <c r="F286" s="8" t="n"/>
      <c r="G286" s="9" t="n"/>
      <c r="H286" s="9" t="n"/>
      <c r="I286" s="9" t="n"/>
      <c r="J286" s="6" t="n"/>
      <c r="K286" s="10">
        <f>IF(OR($C286="",$D286=""),"",$D286*$E286-N($F286))</f>
        <v/>
      </c>
      <c r="L286" s="11">
        <f>IF(OR($C286="",$D286=""),"",$D286*IFERROR(VLOOKUP($C286,'4. Produtos'!$A$6:$E$25,2,FALSE),0))</f>
        <v/>
      </c>
      <c r="M286" s="10">
        <f>IF(OR($C286="",$D286=""),"",$K286-$L286)</f>
        <v/>
      </c>
      <c r="N286" s="12">
        <f>IF($A286="","",EOMONTH($A286,0))</f>
        <v/>
      </c>
    </row>
    <row r="287">
      <c r="A287" s="5" t="n"/>
      <c r="B287" s="6" t="n"/>
      <c r="C287" s="6" t="n"/>
      <c r="D287" s="7" t="n"/>
      <c r="E287" s="8">
        <f>IF($C287="","",IFERROR(VLOOKUP($C287,'4. Produtos'!$A$6:$E$25,3,FALSE),0))</f>
        <v/>
      </c>
      <c r="F287" s="8" t="n"/>
      <c r="G287" s="9" t="n"/>
      <c r="H287" s="9" t="n"/>
      <c r="I287" s="9" t="n"/>
      <c r="J287" s="6" t="n"/>
      <c r="K287" s="10">
        <f>IF(OR($C287="",$D287=""),"",$D287*$E287-N($F287))</f>
        <v/>
      </c>
      <c r="L287" s="11">
        <f>IF(OR($C287="",$D287=""),"",$D287*IFERROR(VLOOKUP($C287,'4. Produtos'!$A$6:$E$25,2,FALSE),0))</f>
        <v/>
      </c>
      <c r="M287" s="10">
        <f>IF(OR($C287="",$D287=""),"",$K287-$L287)</f>
        <v/>
      </c>
      <c r="N287" s="12">
        <f>IF($A287="","",EOMONTH($A287,0))</f>
        <v/>
      </c>
    </row>
    <row r="288">
      <c r="A288" s="5" t="n"/>
      <c r="B288" s="6" t="n"/>
      <c r="C288" s="6" t="n"/>
      <c r="D288" s="7" t="n"/>
      <c r="E288" s="8">
        <f>IF($C288="","",IFERROR(VLOOKUP($C288,'4. Produtos'!$A$6:$E$25,3,FALSE),0))</f>
        <v/>
      </c>
      <c r="F288" s="8" t="n"/>
      <c r="G288" s="9" t="n"/>
      <c r="H288" s="9" t="n"/>
      <c r="I288" s="9" t="n"/>
      <c r="J288" s="6" t="n"/>
      <c r="K288" s="10">
        <f>IF(OR($C288="",$D288=""),"",$D288*$E288-N($F288))</f>
        <v/>
      </c>
      <c r="L288" s="11">
        <f>IF(OR($C288="",$D288=""),"",$D288*IFERROR(VLOOKUP($C288,'4. Produtos'!$A$6:$E$25,2,FALSE),0))</f>
        <v/>
      </c>
      <c r="M288" s="10">
        <f>IF(OR($C288="",$D288=""),"",$K288-$L288)</f>
        <v/>
      </c>
      <c r="N288" s="12">
        <f>IF($A288="","",EOMONTH($A288,0))</f>
        <v/>
      </c>
    </row>
    <row r="289">
      <c r="A289" s="5" t="n"/>
      <c r="B289" s="6" t="n"/>
      <c r="C289" s="6" t="n"/>
      <c r="D289" s="7" t="n"/>
      <c r="E289" s="8">
        <f>IF($C289="","",IFERROR(VLOOKUP($C289,'4. Produtos'!$A$6:$E$25,3,FALSE),0))</f>
        <v/>
      </c>
      <c r="F289" s="8" t="n"/>
      <c r="G289" s="9" t="n"/>
      <c r="H289" s="9" t="n"/>
      <c r="I289" s="9" t="n"/>
      <c r="J289" s="6" t="n"/>
      <c r="K289" s="10">
        <f>IF(OR($C289="",$D289=""),"",$D289*$E289-N($F289))</f>
        <v/>
      </c>
      <c r="L289" s="11">
        <f>IF(OR($C289="",$D289=""),"",$D289*IFERROR(VLOOKUP($C289,'4. Produtos'!$A$6:$E$25,2,FALSE),0))</f>
        <v/>
      </c>
      <c r="M289" s="10">
        <f>IF(OR($C289="",$D289=""),"",$K289-$L289)</f>
        <v/>
      </c>
      <c r="N289" s="12">
        <f>IF($A289="","",EOMONTH($A289,0))</f>
        <v/>
      </c>
    </row>
    <row r="290">
      <c r="A290" s="5" t="n"/>
      <c r="B290" s="6" t="n"/>
      <c r="C290" s="6" t="n"/>
      <c r="D290" s="7" t="n"/>
      <c r="E290" s="8">
        <f>IF($C290="","",IFERROR(VLOOKUP($C290,'4. Produtos'!$A$6:$E$25,3,FALSE),0))</f>
        <v/>
      </c>
      <c r="F290" s="8" t="n"/>
      <c r="G290" s="9" t="n"/>
      <c r="H290" s="9" t="n"/>
      <c r="I290" s="9" t="n"/>
      <c r="J290" s="6" t="n"/>
      <c r="K290" s="10">
        <f>IF(OR($C290="",$D290=""),"",$D290*$E290-N($F290))</f>
        <v/>
      </c>
      <c r="L290" s="11">
        <f>IF(OR($C290="",$D290=""),"",$D290*IFERROR(VLOOKUP($C290,'4. Produtos'!$A$6:$E$25,2,FALSE),0))</f>
        <v/>
      </c>
      <c r="M290" s="10">
        <f>IF(OR($C290="",$D290=""),"",$K290-$L290)</f>
        <v/>
      </c>
      <c r="N290" s="12">
        <f>IF($A290="","",EOMONTH($A290,0))</f>
        <v/>
      </c>
    </row>
    <row r="291">
      <c r="A291" s="5" t="n"/>
      <c r="B291" s="6" t="n"/>
      <c r="C291" s="6" t="n"/>
      <c r="D291" s="7" t="n"/>
      <c r="E291" s="8">
        <f>IF($C291="","",IFERROR(VLOOKUP($C291,'4. Produtos'!$A$6:$E$25,3,FALSE),0))</f>
        <v/>
      </c>
      <c r="F291" s="8" t="n"/>
      <c r="G291" s="9" t="n"/>
      <c r="H291" s="9" t="n"/>
      <c r="I291" s="9" t="n"/>
      <c r="J291" s="6" t="n"/>
      <c r="K291" s="10">
        <f>IF(OR($C291="",$D291=""),"",$D291*$E291-N($F291))</f>
        <v/>
      </c>
      <c r="L291" s="11">
        <f>IF(OR($C291="",$D291=""),"",$D291*IFERROR(VLOOKUP($C291,'4. Produtos'!$A$6:$E$25,2,FALSE),0))</f>
        <v/>
      </c>
      <c r="M291" s="10">
        <f>IF(OR($C291="",$D291=""),"",$K291-$L291)</f>
        <v/>
      </c>
      <c r="N291" s="12">
        <f>IF($A291="","",EOMONTH($A291,0))</f>
        <v/>
      </c>
    </row>
    <row r="292">
      <c r="A292" s="5" t="n"/>
      <c r="B292" s="6" t="n"/>
      <c r="C292" s="6" t="n"/>
      <c r="D292" s="7" t="n"/>
      <c r="E292" s="8">
        <f>IF($C292="","",IFERROR(VLOOKUP($C292,'4. Produtos'!$A$6:$E$25,3,FALSE),0))</f>
        <v/>
      </c>
      <c r="F292" s="8" t="n"/>
      <c r="G292" s="9" t="n"/>
      <c r="H292" s="9" t="n"/>
      <c r="I292" s="9" t="n"/>
      <c r="J292" s="6" t="n"/>
      <c r="K292" s="10">
        <f>IF(OR($C292="",$D292=""),"",$D292*$E292-N($F292))</f>
        <v/>
      </c>
      <c r="L292" s="11">
        <f>IF(OR($C292="",$D292=""),"",$D292*IFERROR(VLOOKUP($C292,'4. Produtos'!$A$6:$E$25,2,FALSE),0))</f>
        <v/>
      </c>
      <c r="M292" s="10">
        <f>IF(OR($C292="",$D292=""),"",$K292-$L292)</f>
        <v/>
      </c>
      <c r="N292" s="12">
        <f>IF($A292="","",EOMONTH($A292,0))</f>
        <v/>
      </c>
    </row>
    <row r="293">
      <c r="A293" s="5" t="n"/>
      <c r="B293" s="6" t="n"/>
      <c r="C293" s="6" t="n"/>
      <c r="D293" s="7" t="n"/>
      <c r="E293" s="8">
        <f>IF($C293="","",IFERROR(VLOOKUP($C293,'4. Produtos'!$A$6:$E$25,3,FALSE),0))</f>
        <v/>
      </c>
      <c r="F293" s="8" t="n"/>
      <c r="G293" s="9" t="n"/>
      <c r="H293" s="9" t="n"/>
      <c r="I293" s="9" t="n"/>
      <c r="J293" s="6" t="n"/>
      <c r="K293" s="10">
        <f>IF(OR($C293="",$D293=""),"",$D293*$E293-N($F293))</f>
        <v/>
      </c>
      <c r="L293" s="11">
        <f>IF(OR($C293="",$D293=""),"",$D293*IFERROR(VLOOKUP($C293,'4. Produtos'!$A$6:$E$25,2,FALSE),0))</f>
        <v/>
      </c>
      <c r="M293" s="10">
        <f>IF(OR($C293="",$D293=""),"",$K293-$L293)</f>
        <v/>
      </c>
      <c r="N293" s="12">
        <f>IF($A293="","",EOMONTH($A293,0))</f>
        <v/>
      </c>
    </row>
    <row r="294">
      <c r="A294" s="5" t="n"/>
      <c r="B294" s="6" t="n"/>
      <c r="C294" s="6" t="n"/>
      <c r="D294" s="7" t="n"/>
      <c r="E294" s="8">
        <f>IF($C294="","",IFERROR(VLOOKUP($C294,'4. Produtos'!$A$6:$E$25,3,FALSE),0))</f>
        <v/>
      </c>
      <c r="F294" s="8" t="n"/>
      <c r="G294" s="9" t="n"/>
      <c r="H294" s="9" t="n"/>
      <c r="I294" s="9" t="n"/>
      <c r="J294" s="6" t="n"/>
      <c r="K294" s="10">
        <f>IF(OR($C294="",$D294=""),"",$D294*$E294-N($F294))</f>
        <v/>
      </c>
      <c r="L294" s="11">
        <f>IF(OR($C294="",$D294=""),"",$D294*IFERROR(VLOOKUP($C294,'4. Produtos'!$A$6:$E$25,2,FALSE),0))</f>
        <v/>
      </c>
      <c r="M294" s="10">
        <f>IF(OR($C294="",$D294=""),"",$K294-$L294)</f>
        <v/>
      </c>
      <c r="N294" s="12">
        <f>IF($A294="","",EOMONTH($A294,0))</f>
        <v/>
      </c>
    </row>
    <row r="295">
      <c r="A295" s="5" t="n"/>
      <c r="B295" s="6" t="n"/>
      <c r="C295" s="6" t="n"/>
      <c r="D295" s="7" t="n"/>
      <c r="E295" s="8">
        <f>IF($C295="","",IFERROR(VLOOKUP($C295,'4. Produtos'!$A$6:$E$25,3,FALSE),0))</f>
        <v/>
      </c>
      <c r="F295" s="8" t="n"/>
      <c r="G295" s="9" t="n"/>
      <c r="H295" s="9" t="n"/>
      <c r="I295" s="9" t="n"/>
      <c r="J295" s="6" t="n"/>
      <c r="K295" s="10">
        <f>IF(OR($C295="",$D295=""),"",$D295*$E295-N($F295))</f>
        <v/>
      </c>
      <c r="L295" s="11">
        <f>IF(OR($C295="",$D295=""),"",$D295*IFERROR(VLOOKUP($C295,'4. Produtos'!$A$6:$E$25,2,FALSE),0))</f>
        <v/>
      </c>
      <c r="M295" s="10">
        <f>IF(OR($C295="",$D295=""),"",$K295-$L295)</f>
        <v/>
      </c>
      <c r="N295" s="12">
        <f>IF($A295="","",EOMONTH($A295,0))</f>
        <v/>
      </c>
    </row>
    <row r="296">
      <c r="A296" s="5" t="n"/>
      <c r="B296" s="6" t="n"/>
      <c r="C296" s="6" t="n"/>
      <c r="D296" s="7" t="n"/>
      <c r="E296" s="8">
        <f>IF($C296="","",IFERROR(VLOOKUP($C296,'4. Produtos'!$A$6:$E$25,3,FALSE),0))</f>
        <v/>
      </c>
      <c r="F296" s="8" t="n"/>
      <c r="G296" s="9" t="n"/>
      <c r="H296" s="9" t="n"/>
      <c r="I296" s="9" t="n"/>
      <c r="J296" s="6" t="n"/>
      <c r="K296" s="10">
        <f>IF(OR($C296="",$D296=""),"",$D296*$E296-N($F296))</f>
        <v/>
      </c>
      <c r="L296" s="11">
        <f>IF(OR($C296="",$D296=""),"",$D296*IFERROR(VLOOKUP($C296,'4. Produtos'!$A$6:$E$25,2,FALSE),0))</f>
        <v/>
      </c>
      <c r="M296" s="10">
        <f>IF(OR($C296="",$D296=""),"",$K296-$L296)</f>
        <v/>
      </c>
      <c r="N296" s="12">
        <f>IF($A296="","",EOMONTH($A296,0))</f>
        <v/>
      </c>
    </row>
    <row r="297">
      <c r="A297" s="5" t="n"/>
      <c r="B297" s="6" t="n"/>
      <c r="C297" s="6" t="n"/>
      <c r="D297" s="7" t="n"/>
      <c r="E297" s="8">
        <f>IF($C297="","",IFERROR(VLOOKUP($C297,'4. Produtos'!$A$6:$E$25,3,FALSE),0))</f>
        <v/>
      </c>
      <c r="F297" s="8" t="n"/>
      <c r="G297" s="9" t="n"/>
      <c r="H297" s="9" t="n"/>
      <c r="I297" s="9" t="n"/>
      <c r="J297" s="6" t="n"/>
      <c r="K297" s="10">
        <f>IF(OR($C297="",$D297=""),"",$D297*$E297-N($F297))</f>
        <v/>
      </c>
      <c r="L297" s="11">
        <f>IF(OR($C297="",$D297=""),"",$D297*IFERROR(VLOOKUP($C297,'4. Produtos'!$A$6:$E$25,2,FALSE),0))</f>
        <v/>
      </c>
      <c r="M297" s="10">
        <f>IF(OR($C297="",$D297=""),"",$K297-$L297)</f>
        <v/>
      </c>
      <c r="N297" s="12">
        <f>IF($A297="","",EOMONTH($A297,0))</f>
        <v/>
      </c>
    </row>
    <row r="298">
      <c r="A298" s="5" t="n"/>
      <c r="B298" s="6" t="n"/>
      <c r="C298" s="6" t="n"/>
      <c r="D298" s="7" t="n"/>
      <c r="E298" s="8">
        <f>IF($C298="","",IFERROR(VLOOKUP($C298,'4. Produtos'!$A$6:$E$25,3,FALSE),0))</f>
        <v/>
      </c>
      <c r="F298" s="8" t="n"/>
      <c r="G298" s="9" t="n"/>
      <c r="H298" s="9" t="n"/>
      <c r="I298" s="9" t="n"/>
      <c r="J298" s="6" t="n"/>
      <c r="K298" s="10">
        <f>IF(OR($C298="",$D298=""),"",$D298*$E298-N($F298))</f>
        <v/>
      </c>
      <c r="L298" s="11">
        <f>IF(OR($C298="",$D298=""),"",$D298*IFERROR(VLOOKUP($C298,'4. Produtos'!$A$6:$E$25,2,FALSE),0))</f>
        <v/>
      </c>
      <c r="M298" s="10">
        <f>IF(OR($C298="",$D298=""),"",$K298-$L298)</f>
        <v/>
      </c>
      <c r="N298" s="12">
        <f>IF($A298="","",EOMONTH($A298,0))</f>
        <v/>
      </c>
    </row>
    <row r="299">
      <c r="A299" s="5" t="n"/>
      <c r="B299" s="6" t="n"/>
      <c r="C299" s="6" t="n"/>
      <c r="D299" s="7" t="n"/>
      <c r="E299" s="8">
        <f>IF($C299="","",IFERROR(VLOOKUP($C299,'4. Produtos'!$A$6:$E$25,3,FALSE),0))</f>
        <v/>
      </c>
      <c r="F299" s="8" t="n"/>
      <c r="G299" s="9" t="n"/>
      <c r="H299" s="9" t="n"/>
      <c r="I299" s="9" t="n"/>
      <c r="J299" s="6" t="n"/>
      <c r="K299" s="10">
        <f>IF(OR($C299="",$D299=""),"",$D299*$E299-N($F299))</f>
        <v/>
      </c>
      <c r="L299" s="11">
        <f>IF(OR($C299="",$D299=""),"",$D299*IFERROR(VLOOKUP($C299,'4. Produtos'!$A$6:$E$25,2,FALSE),0))</f>
        <v/>
      </c>
      <c r="M299" s="10">
        <f>IF(OR($C299="",$D299=""),"",$K299-$L299)</f>
        <v/>
      </c>
      <c r="N299" s="12">
        <f>IF($A299="","",EOMONTH($A299,0))</f>
        <v/>
      </c>
    </row>
    <row r="300">
      <c r="A300" s="5" t="n"/>
      <c r="B300" s="6" t="n"/>
      <c r="C300" s="6" t="n"/>
      <c r="D300" s="7" t="n"/>
      <c r="E300" s="8">
        <f>IF($C300="","",IFERROR(VLOOKUP($C300,'4. Produtos'!$A$6:$E$25,3,FALSE),0))</f>
        <v/>
      </c>
      <c r="F300" s="8" t="n"/>
      <c r="G300" s="9" t="n"/>
      <c r="H300" s="9" t="n"/>
      <c r="I300" s="9" t="n"/>
      <c r="J300" s="6" t="n"/>
      <c r="K300" s="10">
        <f>IF(OR($C300="",$D300=""),"",$D300*$E300-N($F300))</f>
        <v/>
      </c>
      <c r="L300" s="11">
        <f>IF(OR($C300="",$D300=""),"",$D300*IFERROR(VLOOKUP($C300,'4. Produtos'!$A$6:$E$25,2,FALSE),0))</f>
        <v/>
      </c>
      <c r="M300" s="10">
        <f>IF(OR($C300="",$D300=""),"",$K300-$L300)</f>
        <v/>
      </c>
      <c r="N300" s="12">
        <f>IF($A300="","",EOMONTH($A300,0))</f>
        <v/>
      </c>
    </row>
    <row r="301">
      <c r="A301" s="5" t="n"/>
      <c r="B301" s="6" t="n"/>
      <c r="C301" s="6" t="n"/>
      <c r="D301" s="7" t="n"/>
      <c r="E301" s="8">
        <f>IF($C301="","",IFERROR(VLOOKUP($C301,'4. Produtos'!$A$6:$E$25,3,FALSE),0))</f>
        <v/>
      </c>
      <c r="F301" s="8" t="n"/>
      <c r="G301" s="9" t="n"/>
      <c r="H301" s="9" t="n"/>
      <c r="I301" s="9" t="n"/>
      <c r="J301" s="6" t="n"/>
      <c r="K301" s="10">
        <f>IF(OR($C301="",$D301=""),"",$D301*$E301-N($F301))</f>
        <v/>
      </c>
      <c r="L301" s="11">
        <f>IF(OR($C301="",$D301=""),"",$D301*IFERROR(VLOOKUP($C301,'4. Produtos'!$A$6:$E$25,2,FALSE),0))</f>
        <v/>
      </c>
      <c r="M301" s="10">
        <f>IF(OR($C301="",$D301=""),"",$K301-$L301)</f>
        <v/>
      </c>
      <c r="N301" s="12">
        <f>IF($A301="","",EOMONTH($A301,0))</f>
        <v/>
      </c>
    </row>
    <row r="302">
      <c r="A302" s="5" t="n"/>
      <c r="B302" s="6" t="n"/>
      <c r="C302" s="6" t="n"/>
      <c r="D302" s="7" t="n"/>
      <c r="E302" s="8">
        <f>IF($C302="","",IFERROR(VLOOKUP($C302,'4. Produtos'!$A$6:$E$25,3,FALSE),0))</f>
        <v/>
      </c>
      <c r="F302" s="8" t="n"/>
      <c r="G302" s="9" t="n"/>
      <c r="H302" s="9" t="n"/>
      <c r="I302" s="9" t="n"/>
      <c r="J302" s="6" t="n"/>
      <c r="K302" s="10">
        <f>IF(OR($C302="",$D302=""),"",$D302*$E302-N($F302))</f>
        <v/>
      </c>
      <c r="L302" s="11">
        <f>IF(OR($C302="",$D302=""),"",$D302*IFERROR(VLOOKUP($C302,'4. Produtos'!$A$6:$E$25,2,FALSE),0))</f>
        <v/>
      </c>
      <c r="M302" s="10">
        <f>IF(OR($C302="",$D302=""),"",$K302-$L302)</f>
        <v/>
      </c>
      <c r="N302" s="12">
        <f>IF($A302="","",EOMONTH($A302,0))</f>
        <v/>
      </c>
    </row>
    <row r="303">
      <c r="A303" s="5" t="n"/>
      <c r="B303" s="6" t="n"/>
      <c r="C303" s="6" t="n"/>
      <c r="D303" s="7" t="n"/>
      <c r="E303" s="8">
        <f>IF($C303="","",IFERROR(VLOOKUP($C303,'4. Produtos'!$A$6:$E$25,3,FALSE),0))</f>
        <v/>
      </c>
      <c r="F303" s="8" t="n"/>
      <c r="G303" s="9" t="n"/>
      <c r="H303" s="9" t="n"/>
      <c r="I303" s="9" t="n"/>
      <c r="J303" s="6" t="n"/>
      <c r="K303" s="10">
        <f>IF(OR($C303="",$D303=""),"",$D303*$E303-N($F303))</f>
        <v/>
      </c>
      <c r="L303" s="11">
        <f>IF(OR($C303="",$D303=""),"",$D303*IFERROR(VLOOKUP($C303,'4. Produtos'!$A$6:$E$25,2,FALSE),0))</f>
        <v/>
      </c>
      <c r="M303" s="10">
        <f>IF(OR($C303="",$D303=""),"",$K303-$L303)</f>
        <v/>
      </c>
      <c r="N303" s="12">
        <f>IF($A303="","",EOMONTH($A303,0))</f>
        <v/>
      </c>
    </row>
    <row r="304">
      <c r="A304" s="5" t="n"/>
      <c r="B304" s="6" t="n"/>
      <c r="C304" s="6" t="n"/>
      <c r="D304" s="7" t="n"/>
      <c r="E304" s="8">
        <f>IF($C304="","",IFERROR(VLOOKUP($C304,'4. Produtos'!$A$6:$E$25,3,FALSE),0))</f>
        <v/>
      </c>
      <c r="F304" s="8" t="n"/>
      <c r="G304" s="9" t="n"/>
      <c r="H304" s="9" t="n"/>
      <c r="I304" s="9" t="n"/>
      <c r="J304" s="6" t="n"/>
      <c r="K304" s="10">
        <f>IF(OR($C304="",$D304=""),"",$D304*$E304-N($F304))</f>
        <v/>
      </c>
      <c r="L304" s="11">
        <f>IF(OR($C304="",$D304=""),"",$D304*IFERROR(VLOOKUP($C304,'4. Produtos'!$A$6:$E$25,2,FALSE),0))</f>
        <v/>
      </c>
      <c r="M304" s="10">
        <f>IF(OR($C304="",$D304=""),"",$K304-$L304)</f>
        <v/>
      </c>
      <c r="N304" s="12">
        <f>IF($A304="","",EOMONTH($A304,0))</f>
        <v/>
      </c>
    </row>
    <row r="305">
      <c r="A305" s="5" t="n"/>
      <c r="B305" s="6" t="n"/>
      <c r="C305" s="6" t="n"/>
      <c r="D305" s="7" t="n"/>
      <c r="E305" s="8">
        <f>IF($C305="","",IFERROR(VLOOKUP($C305,'4. Produtos'!$A$6:$E$25,3,FALSE),0))</f>
        <v/>
      </c>
      <c r="F305" s="8" t="n"/>
      <c r="G305" s="9" t="n"/>
      <c r="H305" s="9" t="n"/>
      <c r="I305" s="9" t="n"/>
      <c r="J305" s="6" t="n"/>
      <c r="K305" s="10">
        <f>IF(OR($C305="",$D305=""),"",$D305*$E305-N($F305))</f>
        <v/>
      </c>
      <c r="L305" s="11">
        <f>IF(OR($C305="",$D305=""),"",$D305*IFERROR(VLOOKUP($C305,'4. Produtos'!$A$6:$E$25,2,FALSE),0))</f>
        <v/>
      </c>
      <c r="M305" s="10">
        <f>IF(OR($C305="",$D305=""),"",$K305-$L305)</f>
        <v/>
      </c>
      <c r="N305" s="12">
        <f>IF($A305="","",EOMONTH($A305,0))</f>
        <v/>
      </c>
    </row>
    <row r="306">
      <c r="A306" s="5" t="n"/>
      <c r="B306" s="6" t="n"/>
      <c r="C306" s="6" t="n"/>
      <c r="D306" s="7" t="n"/>
      <c r="E306" s="8">
        <f>IF($C306="","",IFERROR(VLOOKUP($C306,'4. Produtos'!$A$6:$E$25,3,FALSE),0))</f>
        <v/>
      </c>
      <c r="F306" s="8" t="n"/>
      <c r="G306" s="9" t="n"/>
      <c r="H306" s="9" t="n"/>
      <c r="I306" s="9" t="n"/>
      <c r="J306" s="6" t="n"/>
      <c r="K306" s="10">
        <f>IF(OR($C306="",$D306=""),"",$D306*$E306-N($F306))</f>
        <v/>
      </c>
      <c r="L306" s="11">
        <f>IF(OR($C306="",$D306=""),"",$D306*IFERROR(VLOOKUP($C306,'4. Produtos'!$A$6:$E$25,2,FALSE),0))</f>
        <v/>
      </c>
      <c r="M306" s="10">
        <f>IF(OR($C306="",$D306=""),"",$K306-$L306)</f>
        <v/>
      </c>
      <c r="N306" s="12">
        <f>IF($A306="","",EOMONTH($A306,0))</f>
        <v/>
      </c>
    </row>
  </sheetData>
  <autoFilter ref="A6:N306"/>
  <conditionalFormatting sqref="A7:N306">
    <cfRule type="expression" priority="1" dxfId="0" stopIfTrue="0">
      <formula>$G7="Pendente"</formula>
    </cfRule>
  </conditionalFormatting>
  <dataValidations count="4">
    <dataValidation sqref="C7:C306" showDropDown="0" showInputMessage="0" showErrorMessage="0" allowBlank="1" errorTitle="Opção fora da lista" error="Escolha uma das opções da lista (ou acrescente a sua na aba '5. Listas')." promptTitle="Produto" prompt="Escolha um produto cadastrado na aba '4. Produtos'." type="list">
      <formula1>'4. Produtos'!$A$6:$A$25</formula1>
    </dataValidation>
    <dataValidation sqref="G7:G306" showDropDown="0" showInputMessage="0" showErrorMessage="0" allowBlank="1" errorTitle="Opção fora da lista" error="Escolha uma das opções da lista (ou acrescente a sua na aba '5. Listas')." promptTitle="Status" prompt="Pago ou Pendente." type="list">
      <formula1>'5. Listas'!$A$3:$A$4</formula1>
    </dataValidation>
    <dataValidation sqref="H7:H306" showDropDown="0" showInputMessage="0" showErrorMessage="0" allowBlank="1" errorTitle="Opção fora da lista" error="Escolha uma das opções da lista (ou acrescente a sua na aba '5. Listas')." promptTitle="Pagamento" prompt="Como a cliente pagou." type="list">
      <formula1>'5. Listas'!$B$3:$B$8</formula1>
    </dataValidation>
    <dataValidation sqref="I7:I306" showDropDown="0" showInputMessage="0" showErrorMessage="0" allowBlank="1" errorTitle="Opção fora da lista" error="Escolha uma das opções da lista (ou acrescente a sua na aba '5. Listas')." promptTitle="Canal" prompt="Por onde veio a venda." type="list">
      <formula1>'5. Listas'!$C$3:$C$8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6B57"/>
    <outlinePr summaryBelow="1" summaryRight="1"/>
    <pageSetUpPr/>
  </sheetPr>
  <dimension ref="A1:D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26" customWidth="1" min="3" max="3"/>
    <col width="20" customWidth="1" min="4" max="4"/>
  </cols>
  <sheetData>
    <row r="1">
      <c r="A1" s="1" t="inlineStr">
        <is>
          <t>RESUMO DAS VENDAS</t>
        </is>
      </c>
    </row>
    <row r="2">
      <c r="A2" s="2" t="inlineStr">
        <is>
          <t>Esta aba só mostra resultados. Tudo vem da aba '1. Vendas' - não precisa digitar nada aqui.</t>
        </is>
      </c>
    </row>
    <row r="4">
      <c r="A4" s="13" t="inlineStr">
        <is>
          <t>NÚMEROS GERAIS (todas as vendas lançadas)</t>
        </is>
      </c>
      <c r="B4" s="14" t="n"/>
    </row>
    <row r="5">
      <c r="A5" s="15" t="inlineStr">
        <is>
          <t>Vendas lançadas</t>
        </is>
      </c>
      <c r="B5" s="16">
        <f>COUNTA('1. Vendas'!$C$7:$C$306)</f>
        <v/>
      </c>
    </row>
    <row r="6">
      <c r="A6" s="15" t="inlineStr">
        <is>
          <t>Potes vendidos</t>
        </is>
      </c>
      <c r="B6" s="16">
        <f>SUM('1. Vendas'!$D$7:$D$306)</f>
        <v/>
      </c>
    </row>
    <row r="7">
      <c r="A7" s="17" t="inlineStr">
        <is>
          <t>FATURAMENTO</t>
        </is>
      </c>
      <c r="B7" s="18">
        <f>SUM('1. Vendas'!$K$7:$K$306)</f>
        <v/>
      </c>
    </row>
    <row r="8">
      <c r="A8" s="15" t="inlineStr">
        <is>
          <t>Custo dos produtos</t>
        </is>
      </c>
      <c r="B8" s="19">
        <f>SUM('1. Vendas'!$L$7:$L$306)</f>
        <v/>
      </c>
    </row>
    <row r="9">
      <c r="A9" s="20" t="inlineStr">
        <is>
          <t>LUCRO</t>
        </is>
      </c>
      <c r="B9" s="21">
        <f>SUM('1. Vendas'!$M$7:$M$306)</f>
        <v/>
      </c>
    </row>
    <row r="10">
      <c r="A10" s="22" t="inlineStr">
        <is>
          <t>Margem de lucro</t>
        </is>
      </c>
      <c r="B10" s="23">
        <f>IF($B$7=0,0,$B$9/$B$7)</f>
        <v/>
      </c>
    </row>
    <row r="11">
      <c r="A11" s="15" t="inlineStr">
        <is>
          <t>Ticket médio (por venda)</t>
        </is>
      </c>
      <c r="B11" s="19">
        <f>IF($B$5=0,0,$B$7/$B$5)</f>
        <v/>
      </c>
    </row>
    <row r="13">
      <c r="A13" s="13" t="inlineStr">
        <is>
          <t>DINHEIRO</t>
        </is>
      </c>
      <c r="B13" s="14" t="n"/>
    </row>
    <row r="14">
      <c r="A14" s="17" t="inlineStr">
        <is>
          <t>Já recebido (Pago)</t>
        </is>
      </c>
      <c r="B14" s="18">
        <f>SUMIF('1. Vendas'!$G$7:$G$306,"Pago",'1. Vendas'!$K$7:$K$306)</f>
        <v/>
      </c>
    </row>
    <row r="15">
      <c r="A15" s="20" t="inlineStr">
        <is>
          <t>A RECEBER (Pendente)</t>
        </is>
      </c>
      <c r="B15" s="21">
        <f>SUMIF('1. Vendas'!$G$7:$G$306,"Pendente",'1. Vendas'!$K$7:$K$306)</f>
        <v/>
      </c>
    </row>
    <row r="17">
      <c r="A17" s="13" t="inlineStr">
        <is>
          <t>POR PRODUTO</t>
        </is>
      </c>
      <c r="B17" s="14" t="n"/>
      <c r="C17" s="14" t="n"/>
      <c r="D17" s="14" t="n"/>
    </row>
    <row r="18">
      <c r="A18" s="4" t="inlineStr">
        <is>
          <t>Produto</t>
        </is>
      </c>
      <c r="B18" s="4" t="inlineStr">
        <is>
          <t>Potes</t>
        </is>
      </c>
      <c r="C18" s="4" t="inlineStr">
        <is>
          <t>Faturamento (R$)</t>
        </is>
      </c>
      <c r="D18" s="4" t="inlineStr">
        <is>
          <t>Lucro (R$)</t>
        </is>
      </c>
    </row>
    <row r="19">
      <c r="A19" s="15">
        <f>IF('4. Produtos'!A6="","",'4. Produtos'!A6)</f>
        <v/>
      </c>
      <c r="B19" s="24">
        <f>IF($A19="","",SUMIF('1. Vendas'!$C$7:$C$306,$A19,'1. Vendas'!$D$7:$D$306))</f>
        <v/>
      </c>
      <c r="C19" s="25">
        <f>IF($A19="","",SUMIF('1. Vendas'!$C$7:$C$306,$A19,'1. Vendas'!$K$7:$K$306))</f>
        <v/>
      </c>
      <c r="D19" s="26">
        <f>IF($A19="","",SUMIF('1. Vendas'!$C$7:$C$306,$A19,'1. Vendas'!$M$7:$M$306))</f>
        <v/>
      </c>
    </row>
    <row r="20">
      <c r="A20" s="15">
        <f>IF('4. Produtos'!A7="","",'4. Produtos'!A7)</f>
        <v/>
      </c>
      <c r="B20" s="24">
        <f>IF($A20="","",SUMIF('1. Vendas'!$C$7:$C$306,$A20,'1. Vendas'!$D$7:$D$306))</f>
        <v/>
      </c>
      <c r="C20" s="25">
        <f>IF($A20="","",SUMIF('1. Vendas'!$C$7:$C$306,$A20,'1. Vendas'!$K$7:$K$306))</f>
        <v/>
      </c>
      <c r="D20" s="26">
        <f>IF($A20="","",SUMIF('1. Vendas'!$C$7:$C$306,$A20,'1. Vendas'!$M$7:$M$306))</f>
        <v/>
      </c>
    </row>
    <row r="21">
      <c r="A21" s="15">
        <f>IF('4. Produtos'!A8="","",'4. Produtos'!A8)</f>
        <v/>
      </c>
      <c r="B21" s="24">
        <f>IF($A21="","",SUMIF('1. Vendas'!$C$7:$C$306,$A21,'1. Vendas'!$D$7:$D$306))</f>
        <v/>
      </c>
      <c r="C21" s="25">
        <f>IF($A21="","",SUMIF('1. Vendas'!$C$7:$C$306,$A21,'1. Vendas'!$K$7:$K$306))</f>
        <v/>
      </c>
      <c r="D21" s="26">
        <f>IF($A21="","",SUMIF('1. Vendas'!$C$7:$C$306,$A21,'1. Vendas'!$M$7:$M$306))</f>
        <v/>
      </c>
    </row>
    <row r="22">
      <c r="A22" s="15">
        <f>IF('4. Produtos'!A9="","",'4. Produtos'!A9)</f>
        <v/>
      </c>
      <c r="B22" s="24">
        <f>IF($A22="","",SUMIF('1. Vendas'!$C$7:$C$306,$A22,'1. Vendas'!$D$7:$D$306))</f>
        <v/>
      </c>
      <c r="C22" s="25">
        <f>IF($A22="","",SUMIF('1. Vendas'!$C$7:$C$306,$A22,'1. Vendas'!$K$7:$K$306))</f>
        <v/>
      </c>
      <c r="D22" s="26">
        <f>IF($A22="","",SUMIF('1. Vendas'!$C$7:$C$306,$A22,'1. Vendas'!$M$7:$M$306))</f>
        <v/>
      </c>
    </row>
    <row r="23">
      <c r="A23" s="15">
        <f>IF('4. Produtos'!A10="","",'4. Produtos'!A10)</f>
        <v/>
      </c>
      <c r="B23" s="24">
        <f>IF($A23="","",SUMIF('1. Vendas'!$C$7:$C$306,$A23,'1. Vendas'!$D$7:$D$306))</f>
        <v/>
      </c>
      <c r="C23" s="25">
        <f>IF($A23="","",SUMIF('1. Vendas'!$C$7:$C$306,$A23,'1. Vendas'!$K$7:$K$306))</f>
        <v/>
      </c>
      <c r="D23" s="26">
        <f>IF($A23="","",SUMIF('1. Vendas'!$C$7:$C$306,$A23,'1. Vendas'!$M$7:$M$306))</f>
        <v/>
      </c>
    </row>
    <row r="24">
      <c r="A24" s="15">
        <f>IF('4. Produtos'!A11="","",'4. Produtos'!A11)</f>
        <v/>
      </c>
      <c r="B24" s="24">
        <f>IF($A24="","",SUMIF('1. Vendas'!$C$7:$C$306,$A24,'1. Vendas'!$D$7:$D$306))</f>
        <v/>
      </c>
      <c r="C24" s="25">
        <f>IF($A24="","",SUMIF('1. Vendas'!$C$7:$C$306,$A24,'1. Vendas'!$K$7:$K$306))</f>
        <v/>
      </c>
      <c r="D24" s="26">
        <f>IF($A24="","",SUMIF('1. Vendas'!$C$7:$C$306,$A24,'1. Vendas'!$M$7:$M$306))</f>
        <v/>
      </c>
    </row>
    <row r="25">
      <c r="A25" s="15">
        <f>IF('4. Produtos'!A12="","",'4. Produtos'!A12)</f>
        <v/>
      </c>
      <c r="B25" s="24">
        <f>IF($A25="","",SUMIF('1. Vendas'!$C$7:$C$306,$A25,'1. Vendas'!$D$7:$D$306))</f>
        <v/>
      </c>
      <c r="C25" s="25">
        <f>IF($A25="","",SUMIF('1. Vendas'!$C$7:$C$306,$A25,'1. Vendas'!$K$7:$K$306))</f>
        <v/>
      </c>
      <c r="D25" s="26">
        <f>IF($A25="","",SUMIF('1. Vendas'!$C$7:$C$306,$A25,'1. Vendas'!$M$7:$M$306))</f>
        <v/>
      </c>
    </row>
    <row r="26">
      <c r="A26" s="15">
        <f>IF('4. Produtos'!A13="","",'4. Produtos'!A13)</f>
        <v/>
      </c>
      <c r="B26" s="24">
        <f>IF($A26="","",SUMIF('1. Vendas'!$C$7:$C$306,$A26,'1. Vendas'!$D$7:$D$306))</f>
        <v/>
      </c>
      <c r="C26" s="25">
        <f>IF($A26="","",SUMIF('1. Vendas'!$C$7:$C$306,$A26,'1. Vendas'!$K$7:$K$306))</f>
        <v/>
      </c>
      <c r="D26" s="26">
        <f>IF($A26="","",SUMIF('1. Vendas'!$C$7:$C$306,$A26,'1. Vendas'!$M$7:$M$306))</f>
        <v/>
      </c>
    </row>
    <row r="27">
      <c r="A27" s="15">
        <f>IF('4. Produtos'!A14="","",'4. Produtos'!A14)</f>
        <v/>
      </c>
      <c r="B27" s="24">
        <f>IF($A27="","",SUMIF('1. Vendas'!$C$7:$C$306,$A27,'1. Vendas'!$D$7:$D$306))</f>
        <v/>
      </c>
      <c r="C27" s="25">
        <f>IF($A27="","",SUMIF('1. Vendas'!$C$7:$C$306,$A27,'1. Vendas'!$K$7:$K$306))</f>
        <v/>
      </c>
      <c r="D27" s="26">
        <f>IF($A27="","",SUMIF('1. Vendas'!$C$7:$C$306,$A27,'1. Vendas'!$M$7:$M$306))</f>
        <v/>
      </c>
    </row>
    <row r="28">
      <c r="A28" s="15">
        <f>IF('4. Produtos'!A15="","",'4. Produtos'!A15)</f>
        <v/>
      </c>
      <c r="B28" s="24">
        <f>IF($A28="","",SUMIF('1. Vendas'!$C$7:$C$306,$A28,'1. Vendas'!$D$7:$D$306))</f>
        <v/>
      </c>
      <c r="C28" s="25">
        <f>IF($A28="","",SUMIF('1. Vendas'!$C$7:$C$306,$A28,'1. Vendas'!$K$7:$K$306))</f>
        <v/>
      </c>
      <c r="D28" s="26">
        <f>IF($A28="","",SUMIF('1. Vendas'!$C$7:$C$306,$A28,'1. Vendas'!$M$7:$M$306))</f>
        <v/>
      </c>
    </row>
    <row r="29">
      <c r="A29" s="15">
        <f>IF('4. Produtos'!A16="","",'4. Produtos'!A16)</f>
        <v/>
      </c>
      <c r="B29" s="24">
        <f>IF($A29="","",SUMIF('1. Vendas'!$C$7:$C$306,$A29,'1. Vendas'!$D$7:$D$306))</f>
        <v/>
      </c>
      <c r="C29" s="25">
        <f>IF($A29="","",SUMIF('1. Vendas'!$C$7:$C$306,$A29,'1. Vendas'!$K$7:$K$306))</f>
        <v/>
      </c>
      <c r="D29" s="26">
        <f>IF($A29="","",SUMIF('1. Vendas'!$C$7:$C$306,$A29,'1. Vendas'!$M$7:$M$306))</f>
        <v/>
      </c>
    </row>
    <row r="30">
      <c r="A30" s="15">
        <f>IF('4. Produtos'!A17="","",'4. Produtos'!A17)</f>
        <v/>
      </c>
      <c r="B30" s="24">
        <f>IF($A30="","",SUMIF('1. Vendas'!$C$7:$C$306,$A30,'1. Vendas'!$D$7:$D$306))</f>
        <v/>
      </c>
      <c r="C30" s="25">
        <f>IF($A30="","",SUMIF('1. Vendas'!$C$7:$C$306,$A30,'1. Vendas'!$K$7:$K$306))</f>
        <v/>
      </c>
      <c r="D30" s="26">
        <f>IF($A30="","",SUMIF('1. Vendas'!$C$7:$C$306,$A30,'1. Vendas'!$M$7:$M$306))</f>
        <v/>
      </c>
    </row>
    <row r="31">
      <c r="A31" s="15">
        <f>IF('4. Produtos'!A18="","",'4. Produtos'!A18)</f>
        <v/>
      </c>
      <c r="B31" s="24">
        <f>IF($A31="","",SUMIF('1. Vendas'!$C$7:$C$306,$A31,'1. Vendas'!$D$7:$D$306))</f>
        <v/>
      </c>
      <c r="C31" s="25">
        <f>IF($A31="","",SUMIF('1. Vendas'!$C$7:$C$306,$A31,'1. Vendas'!$K$7:$K$306))</f>
        <v/>
      </c>
      <c r="D31" s="26">
        <f>IF($A31="","",SUMIF('1. Vendas'!$C$7:$C$306,$A31,'1. Vendas'!$M$7:$M$306))</f>
        <v/>
      </c>
    </row>
    <row r="32">
      <c r="A32" s="15">
        <f>IF('4. Produtos'!A19="","",'4. Produtos'!A19)</f>
        <v/>
      </c>
      <c r="B32" s="24">
        <f>IF($A32="","",SUMIF('1. Vendas'!$C$7:$C$306,$A32,'1. Vendas'!$D$7:$D$306))</f>
        <v/>
      </c>
      <c r="C32" s="25">
        <f>IF($A32="","",SUMIF('1. Vendas'!$C$7:$C$306,$A32,'1. Vendas'!$K$7:$K$306))</f>
        <v/>
      </c>
      <c r="D32" s="26">
        <f>IF($A32="","",SUMIF('1. Vendas'!$C$7:$C$306,$A32,'1. Vendas'!$M$7:$M$306))</f>
        <v/>
      </c>
    </row>
    <row r="33">
      <c r="A33" s="15">
        <f>IF('4. Produtos'!A20="","",'4. Produtos'!A20)</f>
        <v/>
      </c>
      <c r="B33" s="24">
        <f>IF($A33="","",SUMIF('1. Vendas'!$C$7:$C$306,$A33,'1. Vendas'!$D$7:$D$306))</f>
        <v/>
      </c>
      <c r="C33" s="25">
        <f>IF($A33="","",SUMIF('1. Vendas'!$C$7:$C$306,$A33,'1. Vendas'!$K$7:$K$306))</f>
        <v/>
      </c>
      <c r="D33" s="26">
        <f>IF($A33="","",SUMIF('1. Vendas'!$C$7:$C$306,$A33,'1. Vendas'!$M$7:$M$306))</f>
        <v/>
      </c>
    </row>
    <row r="34">
      <c r="A34" s="15">
        <f>IF('4. Produtos'!A21="","",'4. Produtos'!A21)</f>
        <v/>
      </c>
      <c r="B34" s="24">
        <f>IF($A34="","",SUMIF('1. Vendas'!$C$7:$C$306,$A34,'1. Vendas'!$D$7:$D$306))</f>
        <v/>
      </c>
      <c r="C34" s="25">
        <f>IF($A34="","",SUMIF('1. Vendas'!$C$7:$C$306,$A34,'1. Vendas'!$K$7:$K$306))</f>
        <v/>
      </c>
      <c r="D34" s="26">
        <f>IF($A34="","",SUMIF('1. Vendas'!$C$7:$C$306,$A34,'1. Vendas'!$M$7:$M$306))</f>
        <v/>
      </c>
    </row>
    <row r="35">
      <c r="A35" s="15">
        <f>IF('4. Produtos'!A22="","",'4. Produtos'!A22)</f>
        <v/>
      </c>
      <c r="B35" s="24">
        <f>IF($A35="","",SUMIF('1. Vendas'!$C$7:$C$306,$A35,'1. Vendas'!$D$7:$D$306))</f>
        <v/>
      </c>
      <c r="C35" s="25">
        <f>IF($A35="","",SUMIF('1. Vendas'!$C$7:$C$306,$A35,'1. Vendas'!$K$7:$K$306))</f>
        <v/>
      </c>
      <c r="D35" s="26">
        <f>IF($A35="","",SUMIF('1. Vendas'!$C$7:$C$306,$A35,'1. Vendas'!$M$7:$M$306))</f>
        <v/>
      </c>
    </row>
    <row r="36">
      <c r="A36" s="15">
        <f>IF('4. Produtos'!A23="","",'4. Produtos'!A23)</f>
        <v/>
      </c>
      <c r="B36" s="24">
        <f>IF($A36="","",SUMIF('1. Vendas'!$C$7:$C$306,$A36,'1. Vendas'!$D$7:$D$306))</f>
        <v/>
      </c>
      <c r="C36" s="25">
        <f>IF($A36="","",SUMIF('1. Vendas'!$C$7:$C$306,$A36,'1. Vendas'!$K$7:$K$306))</f>
        <v/>
      </c>
      <c r="D36" s="26">
        <f>IF($A36="","",SUMIF('1. Vendas'!$C$7:$C$306,$A36,'1. Vendas'!$M$7:$M$306))</f>
        <v/>
      </c>
    </row>
    <row r="37">
      <c r="A37" s="15">
        <f>IF('4. Produtos'!A24="","",'4. Produtos'!A24)</f>
        <v/>
      </c>
      <c r="B37" s="24">
        <f>IF($A37="","",SUMIF('1. Vendas'!$C$7:$C$306,$A37,'1. Vendas'!$D$7:$D$306))</f>
        <v/>
      </c>
      <c r="C37" s="25">
        <f>IF($A37="","",SUMIF('1. Vendas'!$C$7:$C$306,$A37,'1. Vendas'!$K$7:$K$306))</f>
        <v/>
      </c>
      <c r="D37" s="26">
        <f>IF($A37="","",SUMIF('1. Vendas'!$C$7:$C$306,$A37,'1. Vendas'!$M$7:$M$306))</f>
        <v/>
      </c>
    </row>
    <row r="38">
      <c r="A38" s="15">
        <f>IF('4. Produtos'!A25="","",'4. Produtos'!A25)</f>
        <v/>
      </c>
      <c r="B38" s="24">
        <f>IF($A38="","",SUMIF('1. Vendas'!$C$7:$C$306,$A38,'1. Vendas'!$D$7:$D$306))</f>
        <v/>
      </c>
      <c r="C38" s="25">
        <f>IF($A38="","",SUMIF('1. Vendas'!$C$7:$C$306,$A38,'1. Vendas'!$K$7:$K$306))</f>
        <v/>
      </c>
      <c r="D38" s="26">
        <f>IF($A38="","",SUMIF('1. Vendas'!$C$7:$C$306,$A38,'1. Vendas'!$M$7:$M$306))</f>
        <v/>
      </c>
    </row>
    <row r="40">
      <c r="A40" s="13" t="inlineStr">
        <is>
          <t>MÊS A MÊS</t>
        </is>
      </c>
      <c r="B40" s="14" t="n"/>
      <c r="C40" s="14" t="n"/>
      <c r="D40" s="14" t="n"/>
    </row>
    <row r="41">
      <c r="A41" s="27" t="inlineStr">
        <is>
          <t>Primeiro mês do quadro</t>
        </is>
      </c>
      <c r="B41" s="28">
        <f>EOMONTH(TODAY(),-11)</f>
        <v/>
      </c>
      <c r="C41" s="2" t="inlineStr">
        <is>
          <t>&lt;- edite se quiser começar em outro mês</t>
        </is>
      </c>
    </row>
    <row r="42">
      <c r="A42" s="4" t="inlineStr">
        <is>
          <t>Mês</t>
        </is>
      </c>
      <c r="B42" s="4" t="inlineStr">
        <is>
          <t>Potes</t>
        </is>
      </c>
      <c r="C42" s="4" t="inlineStr">
        <is>
          <t>Faturamento (R$)</t>
        </is>
      </c>
      <c r="D42" s="4" t="inlineStr">
        <is>
          <t>Lucro (R$)</t>
        </is>
      </c>
    </row>
    <row r="43">
      <c r="A43" s="29">
        <f>$B$41</f>
        <v/>
      </c>
      <c r="B43" s="24">
        <f>SUMIF('1. Vendas'!$N$7:$N$306,$A43,'1. Vendas'!$D$7:$D$306)</f>
        <v/>
      </c>
      <c r="C43" s="25">
        <f>SUMIF('1. Vendas'!$N$7:$N$306,$A43,'1. Vendas'!$K$7:$K$306)</f>
        <v/>
      </c>
      <c r="D43" s="26">
        <f>SUMIF('1. Vendas'!$N$7:$N$306,$A43,'1. Vendas'!$M$7:$M$306)</f>
        <v/>
      </c>
    </row>
    <row r="44">
      <c r="A44" s="29">
        <f>EOMONTH(A43,1)</f>
        <v/>
      </c>
      <c r="B44" s="24">
        <f>SUMIF('1. Vendas'!$N$7:$N$306,$A44,'1. Vendas'!$D$7:$D$306)</f>
        <v/>
      </c>
      <c r="C44" s="25">
        <f>SUMIF('1. Vendas'!$N$7:$N$306,$A44,'1. Vendas'!$K$7:$K$306)</f>
        <v/>
      </c>
      <c r="D44" s="26">
        <f>SUMIF('1. Vendas'!$N$7:$N$306,$A44,'1. Vendas'!$M$7:$M$306)</f>
        <v/>
      </c>
    </row>
    <row r="45">
      <c r="A45" s="29">
        <f>EOMONTH(A44,1)</f>
        <v/>
      </c>
      <c r="B45" s="24">
        <f>SUMIF('1. Vendas'!$N$7:$N$306,$A45,'1. Vendas'!$D$7:$D$306)</f>
        <v/>
      </c>
      <c r="C45" s="25">
        <f>SUMIF('1. Vendas'!$N$7:$N$306,$A45,'1. Vendas'!$K$7:$K$306)</f>
        <v/>
      </c>
      <c r="D45" s="26">
        <f>SUMIF('1. Vendas'!$N$7:$N$306,$A45,'1. Vendas'!$M$7:$M$306)</f>
        <v/>
      </c>
    </row>
    <row r="46">
      <c r="A46" s="29">
        <f>EOMONTH(A45,1)</f>
        <v/>
      </c>
      <c r="B46" s="24">
        <f>SUMIF('1. Vendas'!$N$7:$N$306,$A46,'1. Vendas'!$D$7:$D$306)</f>
        <v/>
      </c>
      <c r="C46" s="25">
        <f>SUMIF('1. Vendas'!$N$7:$N$306,$A46,'1. Vendas'!$K$7:$K$306)</f>
        <v/>
      </c>
      <c r="D46" s="26">
        <f>SUMIF('1. Vendas'!$N$7:$N$306,$A46,'1. Vendas'!$M$7:$M$306)</f>
        <v/>
      </c>
    </row>
    <row r="47">
      <c r="A47" s="29">
        <f>EOMONTH(A46,1)</f>
        <v/>
      </c>
      <c r="B47" s="24">
        <f>SUMIF('1. Vendas'!$N$7:$N$306,$A47,'1. Vendas'!$D$7:$D$306)</f>
        <v/>
      </c>
      <c r="C47" s="25">
        <f>SUMIF('1. Vendas'!$N$7:$N$306,$A47,'1. Vendas'!$K$7:$K$306)</f>
        <v/>
      </c>
      <c r="D47" s="26">
        <f>SUMIF('1. Vendas'!$N$7:$N$306,$A47,'1. Vendas'!$M$7:$M$306)</f>
        <v/>
      </c>
    </row>
    <row r="48">
      <c r="A48" s="29">
        <f>EOMONTH(A47,1)</f>
        <v/>
      </c>
      <c r="B48" s="24">
        <f>SUMIF('1. Vendas'!$N$7:$N$306,$A48,'1. Vendas'!$D$7:$D$306)</f>
        <v/>
      </c>
      <c r="C48" s="25">
        <f>SUMIF('1. Vendas'!$N$7:$N$306,$A48,'1. Vendas'!$K$7:$K$306)</f>
        <v/>
      </c>
      <c r="D48" s="26">
        <f>SUMIF('1. Vendas'!$N$7:$N$306,$A48,'1. Vendas'!$M$7:$M$306)</f>
        <v/>
      </c>
    </row>
    <row r="49">
      <c r="A49" s="29">
        <f>EOMONTH(A48,1)</f>
        <v/>
      </c>
      <c r="B49" s="24">
        <f>SUMIF('1. Vendas'!$N$7:$N$306,$A49,'1. Vendas'!$D$7:$D$306)</f>
        <v/>
      </c>
      <c r="C49" s="25">
        <f>SUMIF('1. Vendas'!$N$7:$N$306,$A49,'1. Vendas'!$K$7:$K$306)</f>
        <v/>
      </c>
      <c r="D49" s="26">
        <f>SUMIF('1. Vendas'!$N$7:$N$306,$A49,'1. Vendas'!$M$7:$M$306)</f>
        <v/>
      </c>
    </row>
    <row r="50">
      <c r="A50" s="29">
        <f>EOMONTH(A49,1)</f>
        <v/>
      </c>
      <c r="B50" s="24">
        <f>SUMIF('1. Vendas'!$N$7:$N$306,$A50,'1. Vendas'!$D$7:$D$306)</f>
        <v/>
      </c>
      <c r="C50" s="25">
        <f>SUMIF('1. Vendas'!$N$7:$N$306,$A50,'1. Vendas'!$K$7:$K$306)</f>
        <v/>
      </c>
      <c r="D50" s="26">
        <f>SUMIF('1. Vendas'!$N$7:$N$306,$A50,'1. Vendas'!$M$7:$M$306)</f>
        <v/>
      </c>
    </row>
    <row r="51">
      <c r="A51" s="29">
        <f>EOMONTH(A50,1)</f>
        <v/>
      </c>
      <c r="B51" s="24">
        <f>SUMIF('1. Vendas'!$N$7:$N$306,$A51,'1. Vendas'!$D$7:$D$306)</f>
        <v/>
      </c>
      <c r="C51" s="25">
        <f>SUMIF('1. Vendas'!$N$7:$N$306,$A51,'1. Vendas'!$K$7:$K$306)</f>
        <v/>
      </c>
      <c r="D51" s="26">
        <f>SUMIF('1. Vendas'!$N$7:$N$306,$A51,'1. Vendas'!$M$7:$M$306)</f>
        <v/>
      </c>
    </row>
    <row r="52">
      <c r="A52" s="29">
        <f>EOMONTH(A51,1)</f>
        <v/>
      </c>
      <c r="B52" s="24">
        <f>SUMIF('1. Vendas'!$N$7:$N$306,$A52,'1. Vendas'!$D$7:$D$306)</f>
        <v/>
      </c>
      <c r="C52" s="25">
        <f>SUMIF('1. Vendas'!$N$7:$N$306,$A52,'1. Vendas'!$K$7:$K$306)</f>
        <v/>
      </c>
      <c r="D52" s="26">
        <f>SUMIF('1. Vendas'!$N$7:$N$306,$A52,'1. Vendas'!$M$7:$M$306)</f>
        <v/>
      </c>
    </row>
    <row r="53">
      <c r="A53" s="29">
        <f>EOMONTH(A52,1)</f>
        <v/>
      </c>
      <c r="B53" s="24">
        <f>SUMIF('1. Vendas'!$N$7:$N$306,$A53,'1. Vendas'!$D$7:$D$306)</f>
        <v/>
      </c>
      <c r="C53" s="25">
        <f>SUMIF('1. Vendas'!$N$7:$N$306,$A53,'1. Vendas'!$K$7:$K$306)</f>
        <v/>
      </c>
      <c r="D53" s="26">
        <f>SUMIF('1. Vendas'!$N$7:$N$306,$A53,'1. Vendas'!$M$7:$M$306)</f>
        <v/>
      </c>
    </row>
    <row r="54">
      <c r="A54" s="29">
        <f>EOMONTH(A53,1)</f>
        <v/>
      </c>
      <c r="B54" s="24">
        <f>SUMIF('1. Vendas'!$N$7:$N$306,$A54,'1. Vendas'!$D$7:$D$306)</f>
        <v/>
      </c>
      <c r="C54" s="25">
        <f>SUMIF('1. Vendas'!$N$7:$N$306,$A54,'1. Vendas'!$K$7:$K$306)</f>
        <v/>
      </c>
      <c r="D54" s="26">
        <f>SUMIF('1. Vendas'!$N$7:$N$306,$A54,'1. Vendas'!$M$7:$M$306)</f>
        <v/>
      </c>
    </row>
    <row r="56">
      <c r="A56" s="13" t="inlineStr">
        <is>
          <t>DE ONDE VÊM AS VENDAS</t>
        </is>
      </c>
      <c r="B56" s="14" t="n"/>
      <c r="C56" s="14" t="n"/>
      <c r="D56" s="14" t="n"/>
    </row>
    <row r="57">
      <c r="A57" s="4" t="inlineStr">
        <is>
          <t>Canal</t>
        </is>
      </c>
      <c r="B57" s="4" t="inlineStr">
        <is>
          <t>Faturamento (R$)</t>
        </is>
      </c>
      <c r="C57" s="4" t="inlineStr">
        <is>
          <t>Forma de pagamento</t>
        </is>
      </c>
      <c r="D57" s="4" t="inlineStr">
        <is>
          <t>Faturamento (R$)</t>
        </is>
      </c>
    </row>
    <row r="58">
      <c r="A58" s="15">
        <f>IF('5. Listas'!C3="","",'5. Listas'!C3)</f>
        <v/>
      </c>
      <c r="B58" s="25">
        <f>IF($A58="","",SUMIF('1. Vendas'!$I$7:$I$306,$A58,'1. Vendas'!$K$7:$K$306))</f>
        <v/>
      </c>
      <c r="C58" s="15">
        <f>IF('5. Listas'!B3="","",'5. Listas'!B3)</f>
        <v/>
      </c>
      <c r="D58" s="25">
        <f>IF($C58="","",SUMIF('1. Vendas'!$H$7:$H$306,$C58,'1. Vendas'!$K$7:$K$306))</f>
        <v/>
      </c>
    </row>
    <row r="59">
      <c r="A59" s="15">
        <f>IF('5. Listas'!C4="","",'5. Listas'!C4)</f>
        <v/>
      </c>
      <c r="B59" s="25">
        <f>IF($A59="","",SUMIF('1. Vendas'!$I$7:$I$306,$A59,'1. Vendas'!$K$7:$K$306))</f>
        <v/>
      </c>
      <c r="C59" s="15">
        <f>IF('5. Listas'!B4="","",'5. Listas'!B4)</f>
        <v/>
      </c>
      <c r="D59" s="25">
        <f>IF($C59="","",SUMIF('1. Vendas'!$H$7:$H$306,$C59,'1. Vendas'!$K$7:$K$306))</f>
        <v/>
      </c>
    </row>
    <row r="60">
      <c r="A60" s="15">
        <f>IF('5. Listas'!C5="","",'5. Listas'!C5)</f>
        <v/>
      </c>
      <c r="B60" s="25">
        <f>IF($A60="","",SUMIF('1. Vendas'!$I$7:$I$306,$A60,'1. Vendas'!$K$7:$K$306))</f>
        <v/>
      </c>
      <c r="C60" s="15">
        <f>IF('5. Listas'!B5="","",'5. Listas'!B5)</f>
        <v/>
      </c>
      <c r="D60" s="25">
        <f>IF($C60="","",SUMIF('1. Vendas'!$H$7:$H$306,$C60,'1. Vendas'!$K$7:$K$306))</f>
        <v/>
      </c>
    </row>
    <row r="61">
      <c r="A61" s="15">
        <f>IF('5. Listas'!C6="","",'5. Listas'!C6)</f>
        <v/>
      </c>
      <c r="B61" s="25">
        <f>IF($A61="","",SUMIF('1. Vendas'!$I$7:$I$306,$A61,'1. Vendas'!$K$7:$K$306))</f>
        <v/>
      </c>
      <c r="C61" s="15">
        <f>IF('5. Listas'!B6="","",'5. Listas'!B6)</f>
        <v/>
      </c>
      <c r="D61" s="25">
        <f>IF($C61="","",SUMIF('1. Vendas'!$H$7:$H$306,$C61,'1. Vendas'!$K$7:$K$306))</f>
        <v/>
      </c>
    </row>
    <row r="62">
      <c r="A62" s="15">
        <f>IF('5. Listas'!C7="","",'5. Listas'!C7)</f>
        <v/>
      </c>
      <c r="B62" s="25">
        <f>IF($A62="","",SUMIF('1. Vendas'!$I$7:$I$306,$A62,'1. Vendas'!$K$7:$K$306))</f>
        <v/>
      </c>
      <c r="C62" s="15">
        <f>IF('5. Listas'!B7="","",'5. Listas'!B7)</f>
        <v/>
      </c>
      <c r="D62" s="25">
        <f>IF($C62="","",SUMIF('1. Vendas'!$H$7:$H$306,$C62,'1. Vendas'!$K$7:$K$306))</f>
        <v/>
      </c>
    </row>
    <row r="63">
      <c r="A63" s="15">
        <f>IF('5. Listas'!C8="","",'5. Listas'!C8)</f>
        <v/>
      </c>
      <c r="B63" s="25">
        <f>IF($A63="","",SUMIF('1. Vendas'!$I$7:$I$306,$A63,'1. Vendas'!$K$7:$K$306))</f>
        <v/>
      </c>
      <c r="C63" s="15">
        <f>IF('5. Listas'!B8="","",'5. Listas'!B8)</f>
        <v/>
      </c>
      <c r="D63" s="25">
        <f>IF($C63="","",SUMIF('1. Vendas'!$H$7:$H$306,$C63,'1. Vendas'!$K$7:$K$306))</f>
        <v/>
      </c>
    </row>
    <row r="65">
      <c r="A65" s="30" t="inlineStr">
        <is>
          <t>COMO USAR</t>
        </is>
      </c>
    </row>
    <row r="66">
      <c r="A66" s="31" t="inlineStr">
        <is>
          <t>1) Aba '4. Produtos': confira o custo por pote (vem da planilha de custos) e o preço que você cobra.</t>
        </is>
      </c>
    </row>
    <row r="67">
      <c r="A67" s="31" t="inlineStr">
        <is>
          <t>2) Aba '1. Vendas': uma linha por venda. Data, cliente, produto, quantidade e status - o resto se calcula.</t>
        </is>
      </c>
    </row>
    <row r="68">
      <c r="A68" s="31" t="inlineStr">
        <is>
          <t>3) Deixe o Status em 'Pendente' enquanto não recebeu; a linha fica laranja até você trocar para 'Pago'.</t>
        </is>
      </c>
    </row>
    <row r="69">
      <c r="A69" s="31" t="inlineStr">
        <is>
          <t>4) Aba '3. Clientes': escreva o nome de cada cliente uma vez para acompanhar quanto cada uma já comprou.</t>
        </is>
      </c>
    </row>
    <row r="70">
      <c r="A70" s="31" t="inlineStr">
        <is>
          <t>5) Volte aqui no Resumo para ver faturamento, lucro, o que ainda tem a receber e o mês a mês.</t>
        </is>
      </c>
    </row>
    <row r="71">
      <c r="A71" s="31" t="inlineStr">
        <is>
          <t>REGRA: só preencha as células AMARELAS. As cinzas, verdes e laranjas são fórmulas e se atualizam sozinhas.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96A0C"/>
    <outlinePr summaryBelow="1" summaryRight="1"/>
    <pageSetUpPr/>
  </sheetPr>
  <dimension ref="A1:G5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20" customWidth="1" min="4" max="4"/>
    <col width="20" customWidth="1" min="5" max="5"/>
    <col width="16" customWidth="1" min="6" max="6"/>
    <col width="16" customWidth="1" min="7" max="7"/>
  </cols>
  <sheetData>
    <row r="1">
      <c r="A1" s="1" t="inlineStr">
        <is>
          <t>CLIENTES</t>
        </is>
      </c>
    </row>
    <row r="2">
      <c r="A2" s="2" t="inlineStr">
        <is>
          <t>Escreva o nome de cada cliente uma vez, do mesmo jeito que você escreve na aba de vendas. Os números aparecem sozinhos.</t>
        </is>
      </c>
    </row>
    <row r="5">
      <c r="A5" s="4" t="inlineStr">
        <is>
          <t>Cliente</t>
        </is>
      </c>
      <c r="B5" s="4" t="inlineStr">
        <is>
          <t>Compras</t>
        </is>
      </c>
      <c r="C5" s="4" t="inlineStr">
        <is>
          <t>Potes</t>
        </is>
      </c>
      <c r="D5" s="4" t="inlineStr">
        <is>
          <t>Total comprado (R$)</t>
        </is>
      </c>
      <c r="E5" s="4" t="inlineStr">
        <is>
          <t>Lucro gerado (R$)</t>
        </is>
      </c>
      <c r="F5" s="4" t="inlineStr">
        <is>
          <t>Última compra</t>
        </is>
      </c>
      <c r="G5" s="4" t="inlineStr">
        <is>
          <t>Em aberto (R$)</t>
        </is>
      </c>
    </row>
    <row r="6">
      <c r="A6" s="6" t="n"/>
      <c r="B6" s="32">
        <f>IF($A6="","",COUNTIF('1. Vendas'!$B$7:$B$306,$A6))</f>
        <v/>
      </c>
      <c r="C6" s="24">
        <f>IF($A6="","",SUMIF('1. Vendas'!$B$7:$B$306,$A6,'1. Vendas'!$D$7:$D$306))</f>
        <v/>
      </c>
      <c r="D6" s="19">
        <f>IF($A6="","",SUMIF('1. Vendas'!$B$7:$B$306,$A6,'1. Vendas'!$K$7:$K$306))</f>
        <v/>
      </c>
      <c r="E6" s="25">
        <f>IF($A6="","",SUMIF('1. Vendas'!$B$7:$B$306,$A6,'1. Vendas'!$M$7:$M$306))</f>
        <v/>
      </c>
      <c r="F6" s="33">
        <f>IF($A6="","",IFERROR(MAXIFS('1. Vendas'!$A$7:$A$306,'1. Vendas'!$B$7:$B$306,$A6),""))</f>
        <v/>
      </c>
      <c r="G6" s="34">
        <f>IF($A6="","",SUMIFS('1. Vendas'!$K$7:$K$306,'1. Vendas'!$B$7:$B$306,$A6,'1. Vendas'!$G$7:$G$306,"Pendente"))</f>
        <v/>
      </c>
    </row>
    <row r="7">
      <c r="A7" s="6" t="n"/>
      <c r="B7" s="32">
        <f>IF($A7="","",COUNTIF('1. Vendas'!$B$7:$B$306,$A7))</f>
        <v/>
      </c>
      <c r="C7" s="24">
        <f>IF($A7="","",SUMIF('1. Vendas'!$B$7:$B$306,$A7,'1. Vendas'!$D$7:$D$306))</f>
        <v/>
      </c>
      <c r="D7" s="19">
        <f>IF($A7="","",SUMIF('1. Vendas'!$B$7:$B$306,$A7,'1. Vendas'!$K$7:$K$306))</f>
        <v/>
      </c>
      <c r="E7" s="25">
        <f>IF($A7="","",SUMIF('1. Vendas'!$B$7:$B$306,$A7,'1. Vendas'!$M$7:$M$306))</f>
        <v/>
      </c>
      <c r="F7" s="33">
        <f>IF($A7="","",IFERROR(MAXIFS('1. Vendas'!$A$7:$A$306,'1. Vendas'!$B$7:$B$306,$A7),""))</f>
        <v/>
      </c>
      <c r="G7" s="34">
        <f>IF($A7="","",SUMIFS('1. Vendas'!$K$7:$K$306,'1. Vendas'!$B$7:$B$306,$A7,'1. Vendas'!$G$7:$G$306,"Pendente"))</f>
        <v/>
      </c>
    </row>
    <row r="8">
      <c r="A8" s="6" t="n"/>
      <c r="B8" s="32">
        <f>IF($A8="","",COUNTIF('1. Vendas'!$B$7:$B$306,$A8))</f>
        <v/>
      </c>
      <c r="C8" s="24">
        <f>IF($A8="","",SUMIF('1. Vendas'!$B$7:$B$306,$A8,'1. Vendas'!$D$7:$D$306))</f>
        <v/>
      </c>
      <c r="D8" s="19">
        <f>IF($A8="","",SUMIF('1. Vendas'!$B$7:$B$306,$A8,'1. Vendas'!$K$7:$K$306))</f>
        <v/>
      </c>
      <c r="E8" s="25">
        <f>IF($A8="","",SUMIF('1. Vendas'!$B$7:$B$306,$A8,'1. Vendas'!$M$7:$M$306))</f>
        <v/>
      </c>
      <c r="F8" s="33">
        <f>IF($A8="","",IFERROR(MAXIFS('1. Vendas'!$A$7:$A$306,'1. Vendas'!$B$7:$B$306,$A8),""))</f>
        <v/>
      </c>
      <c r="G8" s="34">
        <f>IF($A8="","",SUMIFS('1. Vendas'!$K$7:$K$306,'1. Vendas'!$B$7:$B$306,$A8,'1. Vendas'!$G$7:$G$306,"Pendente"))</f>
        <v/>
      </c>
    </row>
    <row r="9">
      <c r="A9" s="6" t="n"/>
      <c r="B9" s="32">
        <f>IF($A9="","",COUNTIF('1. Vendas'!$B$7:$B$306,$A9))</f>
        <v/>
      </c>
      <c r="C9" s="24">
        <f>IF($A9="","",SUMIF('1. Vendas'!$B$7:$B$306,$A9,'1. Vendas'!$D$7:$D$306))</f>
        <v/>
      </c>
      <c r="D9" s="19">
        <f>IF($A9="","",SUMIF('1. Vendas'!$B$7:$B$306,$A9,'1. Vendas'!$K$7:$K$306))</f>
        <v/>
      </c>
      <c r="E9" s="25">
        <f>IF($A9="","",SUMIF('1. Vendas'!$B$7:$B$306,$A9,'1. Vendas'!$M$7:$M$306))</f>
        <v/>
      </c>
      <c r="F9" s="33">
        <f>IF($A9="","",IFERROR(MAXIFS('1. Vendas'!$A$7:$A$306,'1. Vendas'!$B$7:$B$306,$A9),""))</f>
        <v/>
      </c>
      <c r="G9" s="34">
        <f>IF($A9="","",SUMIFS('1. Vendas'!$K$7:$K$306,'1. Vendas'!$B$7:$B$306,$A9,'1. Vendas'!$G$7:$G$306,"Pendente"))</f>
        <v/>
      </c>
    </row>
    <row r="10">
      <c r="A10" s="6" t="n"/>
      <c r="B10" s="32">
        <f>IF($A10="","",COUNTIF('1. Vendas'!$B$7:$B$306,$A10))</f>
        <v/>
      </c>
      <c r="C10" s="24">
        <f>IF($A10="","",SUMIF('1. Vendas'!$B$7:$B$306,$A10,'1. Vendas'!$D$7:$D$306))</f>
        <v/>
      </c>
      <c r="D10" s="19">
        <f>IF($A10="","",SUMIF('1. Vendas'!$B$7:$B$306,$A10,'1. Vendas'!$K$7:$K$306))</f>
        <v/>
      </c>
      <c r="E10" s="25">
        <f>IF($A10="","",SUMIF('1. Vendas'!$B$7:$B$306,$A10,'1. Vendas'!$M$7:$M$306))</f>
        <v/>
      </c>
      <c r="F10" s="33">
        <f>IF($A10="","",IFERROR(MAXIFS('1. Vendas'!$A$7:$A$306,'1. Vendas'!$B$7:$B$306,$A10),""))</f>
        <v/>
      </c>
      <c r="G10" s="34">
        <f>IF($A10="","",SUMIFS('1. Vendas'!$K$7:$K$306,'1. Vendas'!$B$7:$B$306,$A10,'1. Vendas'!$G$7:$G$306,"Pendente"))</f>
        <v/>
      </c>
    </row>
    <row r="11">
      <c r="A11" s="6" t="n"/>
      <c r="B11" s="32">
        <f>IF($A11="","",COUNTIF('1. Vendas'!$B$7:$B$306,$A11))</f>
        <v/>
      </c>
      <c r="C11" s="24">
        <f>IF($A11="","",SUMIF('1. Vendas'!$B$7:$B$306,$A11,'1. Vendas'!$D$7:$D$306))</f>
        <v/>
      </c>
      <c r="D11" s="19">
        <f>IF($A11="","",SUMIF('1. Vendas'!$B$7:$B$306,$A11,'1. Vendas'!$K$7:$K$306))</f>
        <v/>
      </c>
      <c r="E11" s="25">
        <f>IF($A11="","",SUMIF('1. Vendas'!$B$7:$B$306,$A11,'1. Vendas'!$M$7:$M$306))</f>
        <v/>
      </c>
      <c r="F11" s="33">
        <f>IF($A11="","",IFERROR(MAXIFS('1. Vendas'!$A$7:$A$306,'1. Vendas'!$B$7:$B$306,$A11),""))</f>
        <v/>
      </c>
      <c r="G11" s="34">
        <f>IF($A11="","",SUMIFS('1. Vendas'!$K$7:$K$306,'1. Vendas'!$B$7:$B$306,$A11,'1. Vendas'!$G$7:$G$306,"Pendente"))</f>
        <v/>
      </c>
    </row>
    <row r="12">
      <c r="A12" s="6" t="n"/>
      <c r="B12" s="32">
        <f>IF($A12="","",COUNTIF('1. Vendas'!$B$7:$B$306,$A12))</f>
        <v/>
      </c>
      <c r="C12" s="24">
        <f>IF($A12="","",SUMIF('1. Vendas'!$B$7:$B$306,$A12,'1. Vendas'!$D$7:$D$306))</f>
        <v/>
      </c>
      <c r="D12" s="19">
        <f>IF($A12="","",SUMIF('1. Vendas'!$B$7:$B$306,$A12,'1. Vendas'!$K$7:$K$306))</f>
        <v/>
      </c>
      <c r="E12" s="25">
        <f>IF($A12="","",SUMIF('1. Vendas'!$B$7:$B$306,$A12,'1. Vendas'!$M$7:$M$306))</f>
        <v/>
      </c>
      <c r="F12" s="33">
        <f>IF($A12="","",IFERROR(MAXIFS('1. Vendas'!$A$7:$A$306,'1. Vendas'!$B$7:$B$306,$A12),""))</f>
        <v/>
      </c>
      <c r="G12" s="34">
        <f>IF($A12="","",SUMIFS('1. Vendas'!$K$7:$K$306,'1. Vendas'!$B$7:$B$306,$A12,'1. Vendas'!$G$7:$G$306,"Pendente"))</f>
        <v/>
      </c>
    </row>
    <row r="13">
      <c r="A13" s="6" t="n"/>
      <c r="B13" s="32">
        <f>IF($A13="","",COUNTIF('1. Vendas'!$B$7:$B$306,$A13))</f>
        <v/>
      </c>
      <c r="C13" s="24">
        <f>IF($A13="","",SUMIF('1. Vendas'!$B$7:$B$306,$A13,'1. Vendas'!$D$7:$D$306))</f>
        <v/>
      </c>
      <c r="D13" s="19">
        <f>IF($A13="","",SUMIF('1. Vendas'!$B$7:$B$306,$A13,'1. Vendas'!$K$7:$K$306))</f>
        <v/>
      </c>
      <c r="E13" s="25">
        <f>IF($A13="","",SUMIF('1. Vendas'!$B$7:$B$306,$A13,'1. Vendas'!$M$7:$M$306))</f>
        <v/>
      </c>
      <c r="F13" s="33">
        <f>IF($A13="","",IFERROR(MAXIFS('1. Vendas'!$A$7:$A$306,'1. Vendas'!$B$7:$B$306,$A13),""))</f>
        <v/>
      </c>
      <c r="G13" s="34">
        <f>IF($A13="","",SUMIFS('1. Vendas'!$K$7:$K$306,'1. Vendas'!$B$7:$B$306,$A13,'1. Vendas'!$G$7:$G$306,"Pendente"))</f>
        <v/>
      </c>
    </row>
    <row r="14">
      <c r="A14" s="6" t="n"/>
      <c r="B14" s="32">
        <f>IF($A14="","",COUNTIF('1. Vendas'!$B$7:$B$306,$A14))</f>
        <v/>
      </c>
      <c r="C14" s="24">
        <f>IF($A14="","",SUMIF('1. Vendas'!$B$7:$B$306,$A14,'1. Vendas'!$D$7:$D$306))</f>
        <v/>
      </c>
      <c r="D14" s="19">
        <f>IF($A14="","",SUMIF('1. Vendas'!$B$7:$B$306,$A14,'1. Vendas'!$K$7:$K$306))</f>
        <v/>
      </c>
      <c r="E14" s="25">
        <f>IF($A14="","",SUMIF('1. Vendas'!$B$7:$B$306,$A14,'1. Vendas'!$M$7:$M$306))</f>
        <v/>
      </c>
      <c r="F14" s="33">
        <f>IF($A14="","",IFERROR(MAXIFS('1. Vendas'!$A$7:$A$306,'1. Vendas'!$B$7:$B$306,$A14),""))</f>
        <v/>
      </c>
      <c r="G14" s="34">
        <f>IF($A14="","",SUMIFS('1. Vendas'!$K$7:$K$306,'1. Vendas'!$B$7:$B$306,$A14,'1. Vendas'!$G$7:$G$306,"Pendente"))</f>
        <v/>
      </c>
    </row>
    <row r="15">
      <c r="A15" s="6" t="n"/>
      <c r="B15" s="32">
        <f>IF($A15="","",COUNTIF('1. Vendas'!$B$7:$B$306,$A15))</f>
        <v/>
      </c>
      <c r="C15" s="24">
        <f>IF($A15="","",SUMIF('1. Vendas'!$B$7:$B$306,$A15,'1. Vendas'!$D$7:$D$306))</f>
        <v/>
      </c>
      <c r="D15" s="19">
        <f>IF($A15="","",SUMIF('1. Vendas'!$B$7:$B$306,$A15,'1. Vendas'!$K$7:$K$306))</f>
        <v/>
      </c>
      <c r="E15" s="25">
        <f>IF($A15="","",SUMIF('1. Vendas'!$B$7:$B$306,$A15,'1. Vendas'!$M$7:$M$306))</f>
        <v/>
      </c>
      <c r="F15" s="33">
        <f>IF($A15="","",IFERROR(MAXIFS('1. Vendas'!$A$7:$A$306,'1. Vendas'!$B$7:$B$306,$A15),""))</f>
        <v/>
      </c>
      <c r="G15" s="34">
        <f>IF($A15="","",SUMIFS('1. Vendas'!$K$7:$K$306,'1. Vendas'!$B$7:$B$306,$A15,'1. Vendas'!$G$7:$G$306,"Pendente"))</f>
        <v/>
      </c>
    </row>
    <row r="16">
      <c r="A16" s="6" t="n"/>
      <c r="B16" s="32">
        <f>IF($A16="","",COUNTIF('1. Vendas'!$B$7:$B$306,$A16))</f>
        <v/>
      </c>
      <c r="C16" s="24">
        <f>IF($A16="","",SUMIF('1. Vendas'!$B$7:$B$306,$A16,'1. Vendas'!$D$7:$D$306))</f>
        <v/>
      </c>
      <c r="D16" s="19">
        <f>IF($A16="","",SUMIF('1. Vendas'!$B$7:$B$306,$A16,'1. Vendas'!$K$7:$K$306))</f>
        <v/>
      </c>
      <c r="E16" s="25">
        <f>IF($A16="","",SUMIF('1. Vendas'!$B$7:$B$306,$A16,'1. Vendas'!$M$7:$M$306))</f>
        <v/>
      </c>
      <c r="F16" s="33">
        <f>IF($A16="","",IFERROR(MAXIFS('1. Vendas'!$A$7:$A$306,'1. Vendas'!$B$7:$B$306,$A16),""))</f>
        <v/>
      </c>
      <c r="G16" s="34">
        <f>IF($A16="","",SUMIFS('1. Vendas'!$K$7:$K$306,'1. Vendas'!$B$7:$B$306,$A16,'1. Vendas'!$G$7:$G$306,"Pendente"))</f>
        <v/>
      </c>
    </row>
    <row r="17">
      <c r="A17" s="6" t="n"/>
      <c r="B17" s="32">
        <f>IF($A17="","",COUNTIF('1. Vendas'!$B$7:$B$306,$A17))</f>
        <v/>
      </c>
      <c r="C17" s="24">
        <f>IF($A17="","",SUMIF('1. Vendas'!$B$7:$B$306,$A17,'1. Vendas'!$D$7:$D$306))</f>
        <v/>
      </c>
      <c r="D17" s="19">
        <f>IF($A17="","",SUMIF('1. Vendas'!$B$7:$B$306,$A17,'1. Vendas'!$K$7:$K$306))</f>
        <v/>
      </c>
      <c r="E17" s="25">
        <f>IF($A17="","",SUMIF('1. Vendas'!$B$7:$B$306,$A17,'1. Vendas'!$M$7:$M$306))</f>
        <v/>
      </c>
      <c r="F17" s="33">
        <f>IF($A17="","",IFERROR(MAXIFS('1. Vendas'!$A$7:$A$306,'1. Vendas'!$B$7:$B$306,$A17),""))</f>
        <v/>
      </c>
      <c r="G17" s="34">
        <f>IF($A17="","",SUMIFS('1. Vendas'!$K$7:$K$306,'1. Vendas'!$B$7:$B$306,$A17,'1. Vendas'!$G$7:$G$306,"Pendente"))</f>
        <v/>
      </c>
    </row>
    <row r="18">
      <c r="A18" s="6" t="n"/>
      <c r="B18" s="32">
        <f>IF($A18="","",COUNTIF('1. Vendas'!$B$7:$B$306,$A18))</f>
        <v/>
      </c>
      <c r="C18" s="24">
        <f>IF($A18="","",SUMIF('1. Vendas'!$B$7:$B$306,$A18,'1. Vendas'!$D$7:$D$306))</f>
        <v/>
      </c>
      <c r="D18" s="19">
        <f>IF($A18="","",SUMIF('1. Vendas'!$B$7:$B$306,$A18,'1. Vendas'!$K$7:$K$306))</f>
        <v/>
      </c>
      <c r="E18" s="25">
        <f>IF($A18="","",SUMIF('1. Vendas'!$B$7:$B$306,$A18,'1. Vendas'!$M$7:$M$306))</f>
        <v/>
      </c>
      <c r="F18" s="33">
        <f>IF($A18="","",IFERROR(MAXIFS('1. Vendas'!$A$7:$A$306,'1. Vendas'!$B$7:$B$306,$A18),""))</f>
        <v/>
      </c>
      <c r="G18" s="34">
        <f>IF($A18="","",SUMIFS('1. Vendas'!$K$7:$K$306,'1. Vendas'!$B$7:$B$306,$A18,'1. Vendas'!$G$7:$G$306,"Pendente"))</f>
        <v/>
      </c>
    </row>
    <row r="19">
      <c r="A19" s="6" t="n"/>
      <c r="B19" s="32">
        <f>IF($A19="","",COUNTIF('1. Vendas'!$B$7:$B$306,$A19))</f>
        <v/>
      </c>
      <c r="C19" s="24">
        <f>IF($A19="","",SUMIF('1. Vendas'!$B$7:$B$306,$A19,'1. Vendas'!$D$7:$D$306))</f>
        <v/>
      </c>
      <c r="D19" s="19">
        <f>IF($A19="","",SUMIF('1. Vendas'!$B$7:$B$306,$A19,'1. Vendas'!$K$7:$K$306))</f>
        <v/>
      </c>
      <c r="E19" s="25">
        <f>IF($A19="","",SUMIF('1. Vendas'!$B$7:$B$306,$A19,'1. Vendas'!$M$7:$M$306))</f>
        <v/>
      </c>
      <c r="F19" s="33">
        <f>IF($A19="","",IFERROR(MAXIFS('1. Vendas'!$A$7:$A$306,'1. Vendas'!$B$7:$B$306,$A19),""))</f>
        <v/>
      </c>
      <c r="G19" s="34">
        <f>IF($A19="","",SUMIFS('1. Vendas'!$K$7:$K$306,'1. Vendas'!$B$7:$B$306,$A19,'1. Vendas'!$G$7:$G$306,"Pendente"))</f>
        <v/>
      </c>
    </row>
    <row r="20">
      <c r="A20" s="6" t="n"/>
      <c r="B20" s="32">
        <f>IF($A20="","",COUNTIF('1. Vendas'!$B$7:$B$306,$A20))</f>
        <v/>
      </c>
      <c r="C20" s="24">
        <f>IF($A20="","",SUMIF('1. Vendas'!$B$7:$B$306,$A20,'1. Vendas'!$D$7:$D$306))</f>
        <v/>
      </c>
      <c r="D20" s="19">
        <f>IF($A20="","",SUMIF('1. Vendas'!$B$7:$B$306,$A20,'1. Vendas'!$K$7:$K$306))</f>
        <v/>
      </c>
      <c r="E20" s="25">
        <f>IF($A20="","",SUMIF('1. Vendas'!$B$7:$B$306,$A20,'1. Vendas'!$M$7:$M$306))</f>
        <v/>
      </c>
      <c r="F20" s="33">
        <f>IF($A20="","",IFERROR(MAXIFS('1. Vendas'!$A$7:$A$306,'1. Vendas'!$B$7:$B$306,$A20),""))</f>
        <v/>
      </c>
      <c r="G20" s="34">
        <f>IF($A20="","",SUMIFS('1. Vendas'!$K$7:$K$306,'1. Vendas'!$B$7:$B$306,$A20,'1. Vendas'!$G$7:$G$306,"Pendente"))</f>
        <v/>
      </c>
    </row>
    <row r="21">
      <c r="A21" s="6" t="n"/>
      <c r="B21" s="32">
        <f>IF($A21="","",COUNTIF('1. Vendas'!$B$7:$B$306,$A21))</f>
        <v/>
      </c>
      <c r="C21" s="24">
        <f>IF($A21="","",SUMIF('1. Vendas'!$B$7:$B$306,$A21,'1. Vendas'!$D$7:$D$306))</f>
        <v/>
      </c>
      <c r="D21" s="19">
        <f>IF($A21="","",SUMIF('1. Vendas'!$B$7:$B$306,$A21,'1. Vendas'!$K$7:$K$306))</f>
        <v/>
      </c>
      <c r="E21" s="25">
        <f>IF($A21="","",SUMIF('1. Vendas'!$B$7:$B$306,$A21,'1. Vendas'!$M$7:$M$306))</f>
        <v/>
      </c>
      <c r="F21" s="33">
        <f>IF($A21="","",IFERROR(MAXIFS('1. Vendas'!$A$7:$A$306,'1. Vendas'!$B$7:$B$306,$A21),""))</f>
        <v/>
      </c>
      <c r="G21" s="34">
        <f>IF($A21="","",SUMIFS('1. Vendas'!$K$7:$K$306,'1. Vendas'!$B$7:$B$306,$A21,'1. Vendas'!$G$7:$G$306,"Pendente"))</f>
        <v/>
      </c>
    </row>
    <row r="22">
      <c r="A22" s="6" t="n"/>
      <c r="B22" s="32">
        <f>IF($A22="","",COUNTIF('1. Vendas'!$B$7:$B$306,$A22))</f>
        <v/>
      </c>
      <c r="C22" s="24">
        <f>IF($A22="","",SUMIF('1. Vendas'!$B$7:$B$306,$A22,'1. Vendas'!$D$7:$D$306))</f>
        <v/>
      </c>
      <c r="D22" s="19">
        <f>IF($A22="","",SUMIF('1. Vendas'!$B$7:$B$306,$A22,'1. Vendas'!$K$7:$K$306))</f>
        <v/>
      </c>
      <c r="E22" s="25">
        <f>IF($A22="","",SUMIF('1. Vendas'!$B$7:$B$306,$A22,'1. Vendas'!$M$7:$M$306))</f>
        <v/>
      </c>
      <c r="F22" s="33">
        <f>IF($A22="","",IFERROR(MAXIFS('1. Vendas'!$A$7:$A$306,'1. Vendas'!$B$7:$B$306,$A22),""))</f>
        <v/>
      </c>
      <c r="G22" s="34">
        <f>IF($A22="","",SUMIFS('1. Vendas'!$K$7:$K$306,'1. Vendas'!$B$7:$B$306,$A22,'1. Vendas'!$G$7:$G$306,"Pendente"))</f>
        <v/>
      </c>
    </row>
    <row r="23">
      <c r="A23" s="6" t="n"/>
      <c r="B23" s="32">
        <f>IF($A23="","",COUNTIF('1. Vendas'!$B$7:$B$306,$A23))</f>
        <v/>
      </c>
      <c r="C23" s="24">
        <f>IF($A23="","",SUMIF('1. Vendas'!$B$7:$B$306,$A23,'1. Vendas'!$D$7:$D$306))</f>
        <v/>
      </c>
      <c r="D23" s="19">
        <f>IF($A23="","",SUMIF('1. Vendas'!$B$7:$B$306,$A23,'1. Vendas'!$K$7:$K$306))</f>
        <v/>
      </c>
      <c r="E23" s="25">
        <f>IF($A23="","",SUMIF('1. Vendas'!$B$7:$B$306,$A23,'1. Vendas'!$M$7:$M$306))</f>
        <v/>
      </c>
      <c r="F23" s="33">
        <f>IF($A23="","",IFERROR(MAXIFS('1. Vendas'!$A$7:$A$306,'1. Vendas'!$B$7:$B$306,$A23),""))</f>
        <v/>
      </c>
      <c r="G23" s="34">
        <f>IF($A23="","",SUMIFS('1. Vendas'!$K$7:$K$306,'1. Vendas'!$B$7:$B$306,$A23,'1. Vendas'!$G$7:$G$306,"Pendente"))</f>
        <v/>
      </c>
    </row>
    <row r="24">
      <c r="A24" s="6" t="n"/>
      <c r="B24" s="32">
        <f>IF($A24="","",COUNTIF('1. Vendas'!$B$7:$B$306,$A24))</f>
        <v/>
      </c>
      <c r="C24" s="24">
        <f>IF($A24="","",SUMIF('1. Vendas'!$B$7:$B$306,$A24,'1. Vendas'!$D$7:$D$306))</f>
        <v/>
      </c>
      <c r="D24" s="19">
        <f>IF($A24="","",SUMIF('1. Vendas'!$B$7:$B$306,$A24,'1. Vendas'!$K$7:$K$306))</f>
        <v/>
      </c>
      <c r="E24" s="25">
        <f>IF($A24="","",SUMIF('1. Vendas'!$B$7:$B$306,$A24,'1. Vendas'!$M$7:$M$306))</f>
        <v/>
      </c>
      <c r="F24" s="33">
        <f>IF($A24="","",IFERROR(MAXIFS('1. Vendas'!$A$7:$A$306,'1. Vendas'!$B$7:$B$306,$A24),""))</f>
        <v/>
      </c>
      <c r="G24" s="34">
        <f>IF($A24="","",SUMIFS('1. Vendas'!$K$7:$K$306,'1. Vendas'!$B$7:$B$306,$A24,'1. Vendas'!$G$7:$G$306,"Pendente"))</f>
        <v/>
      </c>
    </row>
    <row r="25">
      <c r="A25" s="6" t="n"/>
      <c r="B25" s="32">
        <f>IF($A25="","",COUNTIF('1. Vendas'!$B$7:$B$306,$A25))</f>
        <v/>
      </c>
      <c r="C25" s="24">
        <f>IF($A25="","",SUMIF('1. Vendas'!$B$7:$B$306,$A25,'1. Vendas'!$D$7:$D$306))</f>
        <v/>
      </c>
      <c r="D25" s="19">
        <f>IF($A25="","",SUMIF('1. Vendas'!$B$7:$B$306,$A25,'1. Vendas'!$K$7:$K$306))</f>
        <v/>
      </c>
      <c r="E25" s="25">
        <f>IF($A25="","",SUMIF('1. Vendas'!$B$7:$B$306,$A25,'1. Vendas'!$M$7:$M$306))</f>
        <v/>
      </c>
      <c r="F25" s="33">
        <f>IF($A25="","",IFERROR(MAXIFS('1. Vendas'!$A$7:$A$306,'1. Vendas'!$B$7:$B$306,$A25),""))</f>
        <v/>
      </c>
      <c r="G25" s="34">
        <f>IF($A25="","",SUMIFS('1. Vendas'!$K$7:$K$306,'1. Vendas'!$B$7:$B$306,$A25,'1. Vendas'!$G$7:$G$306,"Pendente"))</f>
        <v/>
      </c>
    </row>
    <row r="26">
      <c r="A26" s="6" t="n"/>
      <c r="B26" s="32">
        <f>IF($A26="","",COUNTIF('1. Vendas'!$B$7:$B$306,$A26))</f>
        <v/>
      </c>
      <c r="C26" s="24">
        <f>IF($A26="","",SUMIF('1. Vendas'!$B$7:$B$306,$A26,'1. Vendas'!$D$7:$D$306))</f>
        <v/>
      </c>
      <c r="D26" s="19">
        <f>IF($A26="","",SUMIF('1. Vendas'!$B$7:$B$306,$A26,'1. Vendas'!$K$7:$K$306))</f>
        <v/>
      </c>
      <c r="E26" s="25">
        <f>IF($A26="","",SUMIF('1. Vendas'!$B$7:$B$306,$A26,'1. Vendas'!$M$7:$M$306))</f>
        <v/>
      </c>
      <c r="F26" s="33">
        <f>IF($A26="","",IFERROR(MAXIFS('1. Vendas'!$A$7:$A$306,'1. Vendas'!$B$7:$B$306,$A26),""))</f>
        <v/>
      </c>
      <c r="G26" s="34">
        <f>IF($A26="","",SUMIFS('1. Vendas'!$K$7:$K$306,'1. Vendas'!$B$7:$B$306,$A26,'1. Vendas'!$G$7:$G$306,"Pendente"))</f>
        <v/>
      </c>
    </row>
    <row r="27">
      <c r="A27" s="6" t="n"/>
      <c r="B27" s="32">
        <f>IF($A27="","",COUNTIF('1. Vendas'!$B$7:$B$306,$A27))</f>
        <v/>
      </c>
      <c r="C27" s="24">
        <f>IF($A27="","",SUMIF('1. Vendas'!$B$7:$B$306,$A27,'1. Vendas'!$D$7:$D$306))</f>
        <v/>
      </c>
      <c r="D27" s="19">
        <f>IF($A27="","",SUMIF('1. Vendas'!$B$7:$B$306,$A27,'1. Vendas'!$K$7:$K$306))</f>
        <v/>
      </c>
      <c r="E27" s="25">
        <f>IF($A27="","",SUMIF('1. Vendas'!$B$7:$B$306,$A27,'1. Vendas'!$M$7:$M$306))</f>
        <v/>
      </c>
      <c r="F27" s="33">
        <f>IF($A27="","",IFERROR(MAXIFS('1. Vendas'!$A$7:$A$306,'1. Vendas'!$B$7:$B$306,$A27),""))</f>
        <v/>
      </c>
      <c r="G27" s="34">
        <f>IF($A27="","",SUMIFS('1. Vendas'!$K$7:$K$306,'1. Vendas'!$B$7:$B$306,$A27,'1. Vendas'!$G$7:$G$306,"Pendente"))</f>
        <v/>
      </c>
    </row>
    <row r="28">
      <c r="A28" s="6" t="n"/>
      <c r="B28" s="32">
        <f>IF($A28="","",COUNTIF('1. Vendas'!$B$7:$B$306,$A28))</f>
        <v/>
      </c>
      <c r="C28" s="24">
        <f>IF($A28="","",SUMIF('1. Vendas'!$B$7:$B$306,$A28,'1. Vendas'!$D$7:$D$306))</f>
        <v/>
      </c>
      <c r="D28" s="19">
        <f>IF($A28="","",SUMIF('1. Vendas'!$B$7:$B$306,$A28,'1. Vendas'!$K$7:$K$306))</f>
        <v/>
      </c>
      <c r="E28" s="25">
        <f>IF($A28="","",SUMIF('1. Vendas'!$B$7:$B$306,$A28,'1. Vendas'!$M$7:$M$306))</f>
        <v/>
      </c>
      <c r="F28" s="33">
        <f>IF($A28="","",IFERROR(MAXIFS('1. Vendas'!$A$7:$A$306,'1. Vendas'!$B$7:$B$306,$A28),""))</f>
        <v/>
      </c>
      <c r="G28" s="34">
        <f>IF($A28="","",SUMIFS('1. Vendas'!$K$7:$K$306,'1. Vendas'!$B$7:$B$306,$A28,'1. Vendas'!$G$7:$G$306,"Pendente"))</f>
        <v/>
      </c>
    </row>
    <row r="29">
      <c r="A29" s="6" t="n"/>
      <c r="B29" s="32">
        <f>IF($A29="","",COUNTIF('1. Vendas'!$B$7:$B$306,$A29))</f>
        <v/>
      </c>
      <c r="C29" s="24">
        <f>IF($A29="","",SUMIF('1. Vendas'!$B$7:$B$306,$A29,'1. Vendas'!$D$7:$D$306))</f>
        <v/>
      </c>
      <c r="D29" s="19">
        <f>IF($A29="","",SUMIF('1. Vendas'!$B$7:$B$306,$A29,'1. Vendas'!$K$7:$K$306))</f>
        <v/>
      </c>
      <c r="E29" s="25">
        <f>IF($A29="","",SUMIF('1. Vendas'!$B$7:$B$306,$A29,'1. Vendas'!$M$7:$M$306))</f>
        <v/>
      </c>
      <c r="F29" s="33">
        <f>IF($A29="","",IFERROR(MAXIFS('1. Vendas'!$A$7:$A$306,'1. Vendas'!$B$7:$B$306,$A29),""))</f>
        <v/>
      </c>
      <c r="G29" s="34">
        <f>IF($A29="","",SUMIFS('1. Vendas'!$K$7:$K$306,'1. Vendas'!$B$7:$B$306,$A29,'1. Vendas'!$G$7:$G$306,"Pendente"))</f>
        <v/>
      </c>
    </row>
    <row r="30">
      <c r="A30" s="6" t="n"/>
      <c r="B30" s="32">
        <f>IF($A30="","",COUNTIF('1. Vendas'!$B$7:$B$306,$A30))</f>
        <v/>
      </c>
      <c r="C30" s="24">
        <f>IF($A30="","",SUMIF('1. Vendas'!$B$7:$B$306,$A30,'1. Vendas'!$D$7:$D$306))</f>
        <v/>
      </c>
      <c r="D30" s="19">
        <f>IF($A30="","",SUMIF('1. Vendas'!$B$7:$B$306,$A30,'1. Vendas'!$K$7:$K$306))</f>
        <v/>
      </c>
      <c r="E30" s="25">
        <f>IF($A30="","",SUMIF('1. Vendas'!$B$7:$B$306,$A30,'1. Vendas'!$M$7:$M$306))</f>
        <v/>
      </c>
      <c r="F30" s="33">
        <f>IF($A30="","",IFERROR(MAXIFS('1. Vendas'!$A$7:$A$306,'1. Vendas'!$B$7:$B$306,$A30),""))</f>
        <v/>
      </c>
      <c r="G30" s="34">
        <f>IF($A30="","",SUMIFS('1. Vendas'!$K$7:$K$306,'1. Vendas'!$B$7:$B$306,$A30,'1. Vendas'!$G$7:$G$306,"Pendente"))</f>
        <v/>
      </c>
    </row>
    <row r="31">
      <c r="A31" s="6" t="n"/>
      <c r="B31" s="32">
        <f>IF($A31="","",COUNTIF('1. Vendas'!$B$7:$B$306,$A31))</f>
        <v/>
      </c>
      <c r="C31" s="24">
        <f>IF($A31="","",SUMIF('1. Vendas'!$B$7:$B$306,$A31,'1. Vendas'!$D$7:$D$306))</f>
        <v/>
      </c>
      <c r="D31" s="19">
        <f>IF($A31="","",SUMIF('1. Vendas'!$B$7:$B$306,$A31,'1. Vendas'!$K$7:$K$306))</f>
        <v/>
      </c>
      <c r="E31" s="25">
        <f>IF($A31="","",SUMIF('1. Vendas'!$B$7:$B$306,$A31,'1. Vendas'!$M$7:$M$306))</f>
        <v/>
      </c>
      <c r="F31" s="33">
        <f>IF($A31="","",IFERROR(MAXIFS('1. Vendas'!$A$7:$A$306,'1. Vendas'!$B$7:$B$306,$A31),""))</f>
        <v/>
      </c>
      <c r="G31" s="34">
        <f>IF($A31="","",SUMIFS('1. Vendas'!$K$7:$K$306,'1. Vendas'!$B$7:$B$306,$A31,'1. Vendas'!$G$7:$G$306,"Pendente"))</f>
        <v/>
      </c>
    </row>
    <row r="32">
      <c r="A32" s="6" t="n"/>
      <c r="B32" s="32">
        <f>IF($A32="","",COUNTIF('1. Vendas'!$B$7:$B$306,$A32))</f>
        <v/>
      </c>
      <c r="C32" s="24">
        <f>IF($A32="","",SUMIF('1. Vendas'!$B$7:$B$306,$A32,'1. Vendas'!$D$7:$D$306))</f>
        <v/>
      </c>
      <c r="D32" s="19">
        <f>IF($A32="","",SUMIF('1. Vendas'!$B$7:$B$306,$A32,'1. Vendas'!$K$7:$K$306))</f>
        <v/>
      </c>
      <c r="E32" s="25">
        <f>IF($A32="","",SUMIF('1. Vendas'!$B$7:$B$306,$A32,'1. Vendas'!$M$7:$M$306))</f>
        <v/>
      </c>
      <c r="F32" s="33">
        <f>IF($A32="","",IFERROR(MAXIFS('1. Vendas'!$A$7:$A$306,'1. Vendas'!$B$7:$B$306,$A32),""))</f>
        <v/>
      </c>
      <c r="G32" s="34">
        <f>IF($A32="","",SUMIFS('1. Vendas'!$K$7:$K$306,'1. Vendas'!$B$7:$B$306,$A32,'1. Vendas'!$G$7:$G$306,"Pendente"))</f>
        <v/>
      </c>
    </row>
    <row r="33">
      <c r="A33" s="6" t="n"/>
      <c r="B33" s="32">
        <f>IF($A33="","",COUNTIF('1. Vendas'!$B$7:$B$306,$A33))</f>
        <v/>
      </c>
      <c r="C33" s="24">
        <f>IF($A33="","",SUMIF('1. Vendas'!$B$7:$B$306,$A33,'1. Vendas'!$D$7:$D$306))</f>
        <v/>
      </c>
      <c r="D33" s="19">
        <f>IF($A33="","",SUMIF('1. Vendas'!$B$7:$B$306,$A33,'1. Vendas'!$K$7:$K$306))</f>
        <v/>
      </c>
      <c r="E33" s="25">
        <f>IF($A33="","",SUMIF('1. Vendas'!$B$7:$B$306,$A33,'1. Vendas'!$M$7:$M$306))</f>
        <v/>
      </c>
      <c r="F33" s="33">
        <f>IF($A33="","",IFERROR(MAXIFS('1. Vendas'!$A$7:$A$306,'1. Vendas'!$B$7:$B$306,$A33),""))</f>
        <v/>
      </c>
      <c r="G33" s="34">
        <f>IF($A33="","",SUMIFS('1. Vendas'!$K$7:$K$306,'1. Vendas'!$B$7:$B$306,$A33,'1. Vendas'!$G$7:$G$306,"Pendente"))</f>
        <v/>
      </c>
    </row>
    <row r="34">
      <c r="A34" s="6" t="n"/>
      <c r="B34" s="32">
        <f>IF($A34="","",COUNTIF('1. Vendas'!$B$7:$B$306,$A34))</f>
        <v/>
      </c>
      <c r="C34" s="24">
        <f>IF($A34="","",SUMIF('1. Vendas'!$B$7:$B$306,$A34,'1. Vendas'!$D$7:$D$306))</f>
        <v/>
      </c>
      <c r="D34" s="19">
        <f>IF($A34="","",SUMIF('1. Vendas'!$B$7:$B$306,$A34,'1. Vendas'!$K$7:$K$306))</f>
        <v/>
      </c>
      <c r="E34" s="25">
        <f>IF($A34="","",SUMIF('1. Vendas'!$B$7:$B$306,$A34,'1. Vendas'!$M$7:$M$306))</f>
        <v/>
      </c>
      <c r="F34" s="33">
        <f>IF($A34="","",IFERROR(MAXIFS('1. Vendas'!$A$7:$A$306,'1. Vendas'!$B$7:$B$306,$A34),""))</f>
        <v/>
      </c>
      <c r="G34" s="34">
        <f>IF($A34="","",SUMIFS('1. Vendas'!$K$7:$K$306,'1. Vendas'!$B$7:$B$306,$A34,'1. Vendas'!$G$7:$G$306,"Pendente"))</f>
        <v/>
      </c>
    </row>
    <row r="35">
      <c r="A35" s="6" t="n"/>
      <c r="B35" s="32">
        <f>IF($A35="","",COUNTIF('1. Vendas'!$B$7:$B$306,$A35))</f>
        <v/>
      </c>
      <c r="C35" s="24">
        <f>IF($A35="","",SUMIF('1. Vendas'!$B$7:$B$306,$A35,'1. Vendas'!$D$7:$D$306))</f>
        <v/>
      </c>
      <c r="D35" s="19">
        <f>IF($A35="","",SUMIF('1. Vendas'!$B$7:$B$306,$A35,'1. Vendas'!$K$7:$K$306))</f>
        <v/>
      </c>
      <c r="E35" s="25">
        <f>IF($A35="","",SUMIF('1. Vendas'!$B$7:$B$306,$A35,'1. Vendas'!$M$7:$M$306))</f>
        <v/>
      </c>
      <c r="F35" s="33">
        <f>IF($A35="","",IFERROR(MAXIFS('1. Vendas'!$A$7:$A$306,'1. Vendas'!$B$7:$B$306,$A35),""))</f>
        <v/>
      </c>
      <c r="G35" s="34">
        <f>IF($A35="","",SUMIFS('1. Vendas'!$K$7:$K$306,'1. Vendas'!$B$7:$B$306,$A35,'1. Vendas'!$G$7:$G$306,"Pendente"))</f>
        <v/>
      </c>
    </row>
    <row r="36">
      <c r="A36" s="6" t="n"/>
      <c r="B36" s="32">
        <f>IF($A36="","",COUNTIF('1. Vendas'!$B$7:$B$306,$A36))</f>
        <v/>
      </c>
      <c r="C36" s="24">
        <f>IF($A36="","",SUMIF('1. Vendas'!$B$7:$B$306,$A36,'1. Vendas'!$D$7:$D$306))</f>
        <v/>
      </c>
      <c r="D36" s="19">
        <f>IF($A36="","",SUMIF('1. Vendas'!$B$7:$B$306,$A36,'1. Vendas'!$K$7:$K$306))</f>
        <v/>
      </c>
      <c r="E36" s="25">
        <f>IF($A36="","",SUMIF('1. Vendas'!$B$7:$B$306,$A36,'1. Vendas'!$M$7:$M$306))</f>
        <v/>
      </c>
      <c r="F36" s="33">
        <f>IF($A36="","",IFERROR(MAXIFS('1. Vendas'!$A$7:$A$306,'1. Vendas'!$B$7:$B$306,$A36),""))</f>
        <v/>
      </c>
      <c r="G36" s="34">
        <f>IF($A36="","",SUMIFS('1. Vendas'!$K$7:$K$306,'1. Vendas'!$B$7:$B$306,$A36,'1. Vendas'!$G$7:$G$306,"Pendente"))</f>
        <v/>
      </c>
    </row>
    <row r="37">
      <c r="A37" s="6" t="n"/>
      <c r="B37" s="32">
        <f>IF($A37="","",COUNTIF('1. Vendas'!$B$7:$B$306,$A37))</f>
        <v/>
      </c>
      <c r="C37" s="24">
        <f>IF($A37="","",SUMIF('1. Vendas'!$B$7:$B$306,$A37,'1. Vendas'!$D$7:$D$306))</f>
        <v/>
      </c>
      <c r="D37" s="19">
        <f>IF($A37="","",SUMIF('1. Vendas'!$B$7:$B$306,$A37,'1. Vendas'!$K$7:$K$306))</f>
        <v/>
      </c>
      <c r="E37" s="25">
        <f>IF($A37="","",SUMIF('1. Vendas'!$B$7:$B$306,$A37,'1. Vendas'!$M$7:$M$306))</f>
        <v/>
      </c>
      <c r="F37" s="33">
        <f>IF($A37="","",IFERROR(MAXIFS('1. Vendas'!$A$7:$A$306,'1. Vendas'!$B$7:$B$306,$A37),""))</f>
        <v/>
      </c>
      <c r="G37" s="34">
        <f>IF($A37="","",SUMIFS('1. Vendas'!$K$7:$K$306,'1. Vendas'!$B$7:$B$306,$A37,'1. Vendas'!$G$7:$G$306,"Pendente"))</f>
        <v/>
      </c>
    </row>
    <row r="38">
      <c r="A38" s="6" t="n"/>
      <c r="B38" s="32">
        <f>IF($A38="","",COUNTIF('1. Vendas'!$B$7:$B$306,$A38))</f>
        <v/>
      </c>
      <c r="C38" s="24">
        <f>IF($A38="","",SUMIF('1. Vendas'!$B$7:$B$306,$A38,'1. Vendas'!$D$7:$D$306))</f>
        <v/>
      </c>
      <c r="D38" s="19">
        <f>IF($A38="","",SUMIF('1. Vendas'!$B$7:$B$306,$A38,'1. Vendas'!$K$7:$K$306))</f>
        <v/>
      </c>
      <c r="E38" s="25">
        <f>IF($A38="","",SUMIF('1. Vendas'!$B$7:$B$306,$A38,'1. Vendas'!$M$7:$M$306))</f>
        <v/>
      </c>
      <c r="F38" s="33">
        <f>IF($A38="","",IFERROR(MAXIFS('1. Vendas'!$A$7:$A$306,'1. Vendas'!$B$7:$B$306,$A38),""))</f>
        <v/>
      </c>
      <c r="G38" s="34">
        <f>IF($A38="","",SUMIFS('1. Vendas'!$K$7:$K$306,'1. Vendas'!$B$7:$B$306,$A38,'1. Vendas'!$G$7:$G$306,"Pendente"))</f>
        <v/>
      </c>
    </row>
    <row r="39">
      <c r="A39" s="6" t="n"/>
      <c r="B39" s="32">
        <f>IF($A39="","",COUNTIF('1. Vendas'!$B$7:$B$306,$A39))</f>
        <v/>
      </c>
      <c r="C39" s="24">
        <f>IF($A39="","",SUMIF('1. Vendas'!$B$7:$B$306,$A39,'1. Vendas'!$D$7:$D$306))</f>
        <v/>
      </c>
      <c r="D39" s="19">
        <f>IF($A39="","",SUMIF('1. Vendas'!$B$7:$B$306,$A39,'1. Vendas'!$K$7:$K$306))</f>
        <v/>
      </c>
      <c r="E39" s="25">
        <f>IF($A39="","",SUMIF('1. Vendas'!$B$7:$B$306,$A39,'1. Vendas'!$M$7:$M$306))</f>
        <v/>
      </c>
      <c r="F39" s="33">
        <f>IF($A39="","",IFERROR(MAXIFS('1. Vendas'!$A$7:$A$306,'1. Vendas'!$B$7:$B$306,$A39),""))</f>
        <v/>
      </c>
      <c r="G39" s="34">
        <f>IF($A39="","",SUMIFS('1. Vendas'!$K$7:$K$306,'1. Vendas'!$B$7:$B$306,$A39,'1. Vendas'!$G$7:$G$306,"Pendente"))</f>
        <v/>
      </c>
    </row>
    <row r="40">
      <c r="A40" s="6" t="n"/>
      <c r="B40" s="32">
        <f>IF($A40="","",COUNTIF('1. Vendas'!$B$7:$B$306,$A40))</f>
        <v/>
      </c>
      <c r="C40" s="24">
        <f>IF($A40="","",SUMIF('1. Vendas'!$B$7:$B$306,$A40,'1. Vendas'!$D$7:$D$306))</f>
        <v/>
      </c>
      <c r="D40" s="19">
        <f>IF($A40="","",SUMIF('1. Vendas'!$B$7:$B$306,$A40,'1. Vendas'!$K$7:$K$306))</f>
        <v/>
      </c>
      <c r="E40" s="25">
        <f>IF($A40="","",SUMIF('1. Vendas'!$B$7:$B$306,$A40,'1. Vendas'!$M$7:$M$306))</f>
        <v/>
      </c>
      <c r="F40" s="33">
        <f>IF($A40="","",IFERROR(MAXIFS('1. Vendas'!$A$7:$A$306,'1. Vendas'!$B$7:$B$306,$A40),""))</f>
        <v/>
      </c>
      <c r="G40" s="34">
        <f>IF($A40="","",SUMIFS('1. Vendas'!$K$7:$K$306,'1. Vendas'!$B$7:$B$306,$A40,'1. Vendas'!$G$7:$G$306,"Pendente"))</f>
        <v/>
      </c>
    </row>
    <row r="41">
      <c r="A41" s="6" t="n"/>
      <c r="B41" s="32">
        <f>IF($A41="","",COUNTIF('1. Vendas'!$B$7:$B$306,$A41))</f>
        <v/>
      </c>
      <c r="C41" s="24">
        <f>IF($A41="","",SUMIF('1. Vendas'!$B$7:$B$306,$A41,'1. Vendas'!$D$7:$D$306))</f>
        <v/>
      </c>
      <c r="D41" s="19">
        <f>IF($A41="","",SUMIF('1. Vendas'!$B$7:$B$306,$A41,'1. Vendas'!$K$7:$K$306))</f>
        <v/>
      </c>
      <c r="E41" s="25">
        <f>IF($A41="","",SUMIF('1. Vendas'!$B$7:$B$306,$A41,'1. Vendas'!$M$7:$M$306))</f>
        <v/>
      </c>
      <c r="F41" s="33">
        <f>IF($A41="","",IFERROR(MAXIFS('1. Vendas'!$A$7:$A$306,'1. Vendas'!$B$7:$B$306,$A41),""))</f>
        <v/>
      </c>
      <c r="G41" s="34">
        <f>IF($A41="","",SUMIFS('1. Vendas'!$K$7:$K$306,'1. Vendas'!$B$7:$B$306,$A41,'1. Vendas'!$G$7:$G$306,"Pendente"))</f>
        <v/>
      </c>
    </row>
    <row r="42">
      <c r="A42" s="6" t="n"/>
      <c r="B42" s="32">
        <f>IF($A42="","",COUNTIF('1. Vendas'!$B$7:$B$306,$A42))</f>
        <v/>
      </c>
      <c r="C42" s="24">
        <f>IF($A42="","",SUMIF('1. Vendas'!$B$7:$B$306,$A42,'1. Vendas'!$D$7:$D$306))</f>
        <v/>
      </c>
      <c r="D42" s="19">
        <f>IF($A42="","",SUMIF('1. Vendas'!$B$7:$B$306,$A42,'1. Vendas'!$K$7:$K$306))</f>
        <v/>
      </c>
      <c r="E42" s="25">
        <f>IF($A42="","",SUMIF('1. Vendas'!$B$7:$B$306,$A42,'1. Vendas'!$M$7:$M$306))</f>
        <v/>
      </c>
      <c r="F42" s="33">
        <f>IF($A42="","",IFERROR(MAXIFS('1. Vendas'!$A$7:$A$306,'1. Vendas'!$B$7:$B$306,$A42),""))</f>
        <v/>
      </c>
      <c r="G42" s="34">
        <f>IF($A42="","",SUMIFS('1. Vendas'!$K$7:$K$306,'1. Vendas'!$B$7:$B$306,$A42,'1. Vendas'!$G$7:$G$306,"Pendente"))</f>
        <v/>
      </c>
    </row>
    <row r="43">
      <c r="A43" s="6" t="n"/>
      <c r="B43" s="32">
        <f>IF($A43="","",COUNTIF('1. Vendas'!$B$7:$B$306,$A43))</f>
        <v/>
      </c>
      <c r="C43" s="24">
        <f>IF($A43="","",SUMIF('1. Vendas'!$B$7:$B$306,$A43,'1. Vendas'!$D$7:$D$306))</f>
        <v/>
      </c>
      <c r="D43" s="19">
        <f>IF($A43="","",SUMIF('1. Vendas'!$B$7:$B$306,$A43,'1. Vendas'!$K$7:$K$306))</f>
        <v/>
      </c>
      <c r="E43" s="25">
        <f>IF($A43="","",SUMIF('1. Vendas'!$B$7:$B$306,$A43,'1. Vendas'!$M$7:$M$306))</f>
        <v/>
      </c>
      <c r="F43" s="33">
        <f>IF($A43="","",IFERROR(MAXIFS('1. Vendas'!$A$7:$A$306,'1. Vendas'!$B$7:$B$306,$A43),""))</f>
        <v/>
      </c>
      <c r="G43" s="34">
        <f>IF($A43="","",SUMIFS('1. Vendas'!$K$7:$K$306,'1. Vendas'!$B$7:$B$306,$A43,'1. Vendas'!$G$7:$G$306,"Pendente"))</f>
        <v/>
      </c>
    </row>
    <row r="44">
      <c r="A44" s="6" t="n"/>
      <c r="B44" s="32">
        <f>IF($A44="","",COUNTIF('1. Vendas'!$B$7:$B$306,$A44))</f>
        <v/>
      </c>
      <c r="C44" s="24">
        <f>IF($A44="","",SUMIF('1. Vendas'!$B$7:$B$306,$A44,'1. Vendas'!$D$7:$D$306))</f>
        <v/>
      </c>
      <c r="D44" s="19">
        <f>IF($A44="","",SUMIF('1. Vendas'!$B$7:$B$306,$A44,'1. Vendas'!$K$7:$K$306))</f>
        <v/>
      </c>
      <c r="E44" s="25">
        <f>IF($A44="","",SUMIF('1. Vendas'!$B$7:$B$306,$A44,'1. Vendas'!$M$7:$M$306))</f>
        <v/>
      </c>
      <c r="F44" s="33">
        <f>IF($A44="","",IFERROR(MAXIFS('1. Vendas'!$A$7:$A$306,'1. Vendas'!$B$7:$B$306,$A44),""))</f>
        <v/>
      </c>
      <c r="G44" s="34">
        <f>IF($A44="","",SUMIFS('1. Vendas'!$K$7:$K$306,'1. Vendas'!$B$7:$B$306,$A44,'1. Vendas'!$G$7:$G$306,"Pendente"))</f>
        <v/>
      </c>
    </row>
    <row r="45">
      <c r="A45" s="6" t="n"/>
      <c r="B45" s="32">
        <f>IF($A45="","",COUNTIF('1. Vendas'!$B$7:$B$306,$A45))</f>
        <v/>
      </c>
      <c r="C45" s="24">
        <f>IF($A45="","",SUMIF('1. Vendas'!$B$7:$B$306,$A45,'1. Vendas'!$D$7:$D$306))</f>
        <v/>
      </c>
      <c r="D45" s="19">
        <f>IF($A45="","",SUMIF('1. Vendas'!$B$7:$B$306,$A45,'1. Vendas'!$K$7:$K$306))</f>
        <v/>
      </c>
      <c r="E45" s="25">
        <f>IF($A45="","",SUMIF('1. Vendas'!$B$7:$B$306,$A45,'1. Vendas'!$M$7:$M$306))</f>
        <v/>
      </c>
      <c r="F45" s="33">
        <f>IF($A45="","",IFERROR(MAXIFS('1. Vendas'!$A$7:$A$306,'1. Vendas'!$B$7:$B$306,$A45),""))</f>
        <v/>
      </c>
      <c r="G45" s="34">
        <f>IF($A45="","",SUMIFS('1. Vendas'!$K$7:$K$306,'1. Vendas'!$B$7:$B$306,$A45,'1. Vendas'!$G$7:$G$306,"Pendente"))</f>
        <v/>
      </c>
    </row>
    <row r="46">
      <c r="A46" s="6" t="n"/>
      <c r="B46" s="32">
        <f>IF($A46="","",COUNTIF('1. Vendas'!$B$7:$B$306,$A46))</f>
        <v/>
      </c>
      <c r="C46" s="24">
        <f>IF($A46="","",SUMIF('1. Vendas'!$B$7:$B$306,$A46,'1. Vendas'!$D$7:$D$306))</f>
        <v/>
      </c>
      <c r="D46" s="19">
        <f>IF($A46="","",SUMIF('1. Vendas'!$B$7:$B$306,$A46,'1. Vendas'!$K$7:$K$306))</f>
        <v/>
      </c>
      <c r="E46" s="25">
        <f>IF($A46="","",SUMIF('1. Vendas'!$B$7:$B$306,$A46,'1. Vendas'!$M$7:$M$306))</f>
        <v/>
      </c>
      <c r="F46" s="33">
        <f>IF($A46="","",IFERROR(MAXIFS('1. Vendas'!$A$7:$A$306,'1. Vendas'!$B$7:$B$306,$A46),""))</f>
        <v/>
      </c>
      <c r="G46" s="34">
        <f>IF($A46="","",SUMIFS('1. Vendas'!$K$7:$K$306,'1. Vendas'!$B$7:$B$306,$A46,'1. Vendas'!$G$7:$G$306,"Pendente"))</f>
        <v/>
      </c>
    </row>
    <row r="47">
      <c r="A47" s="6" t="n"/>
      <c r="B47" s="32">
        <f>IF($A47="","",COUNTIF('1. Vendas'!$B$7:$B$306,$A47))</f>
        <v/>
      </c>
      <c r="C47" s="24">
        <f>IF($A47="","",SUMIF('1. Vendas'!$B$7:$B$306,$A47,'1. Vendas'!$D$7:$D$306))</f>
        <v/>
      </c>
      <c r="D47" s="19">
        <f>IF($A47="","",SUMIF('1. Vendas'!$B$7:$B$306,$A47,'1. Vendas'!$K$7:$K$306))</f>
        <v/>
      </c>
      <c r="E47" s="25">
        <f>IF($A47="","",SUMIF('1. Vendas'!$B$7:$B$306,$A47,'1. Vendas'!$M$7:$M$306))</f>
        <v/>
      </c>
      <c r="F47" s="33">
        <f>IF($A47="","",IFERROR(MAXIFS('1. Vendas'!$A$7:$A$306,'1. Vendas'!$B$7:$B$306,$A47),""))</f>
        <v/>
      </c>
      <c r="G47" s="34">
        <f>IF($A47="","",SUMIFS('1. Vendas'!$K$7:$K$306,'1. Vendas'!$B$7:$B$306,$A47,'1. Vendas'!$G$7:$G$306,"Pendente"))</f>
        <v/>
      </c>
    </row>
    <row r="48">
      <c r="A48" s="6" t="n"/>
      <c r="B48" s="32">
        <f>IF($A48="","",COUNTIF('1. Vendas'!$B$7:$B$306,$A48))</f>
        <v/>
      </c>
      <c r="C48" s="24">
        <f>IF($A48="","",SUMIF('1. Vendas'!$B$7:$B$306,$A48,'1. Vendas'!$D$7:$D$306))</f>
        <v/>
      </c>
      <c r="D48" s="19">
        <f>IF($A48="","",SUMIF('1. Vendas'!$B$7:$B$306,$A48,'1. Vendas'!$K$7:$K$306))</f>
        <v/>
      </c>
      <c r="E48" s="25">
        <f>IF($A48="","",SUMIF('1. Vendas'!$B$7:$B$306,$A48,'1. Vendas'!$M$7:$M$306))</f>
        <v/>
      </c>
      <c r="F48" s="33">
        <f>IF($A48="","",IFERROR(MAXIFS('1. Vendas'!$A$7:$A$306,'1. Vendas'!$B$7:$B$306,$A48),""))</f>
        <v/>
      </c>
      <c r="G48" s="34">
        <f>IF($A48="","",SUMIFS('1. Vendas'!$K$7:$K$306,'1. Vendas'!$B$7:$B$306,$A48,'1. Vendas'!$G$7:$G$306,"Pendente"))</f>
        <v/>
      </c>
    </row>
    <row r="49">
      <c r="A49" s="6" t="n"/>
      <c r="B49" s="32">
        <f>IF($A49="","",COUNTIF('1. Vendas'!$B$7:$B$306,$A49))</f>
        <v/>
      </c>
      <c r="C49" s="24">
        <f>IF($A49="","",SUMIF('1. Vendas'!$B$7:$B$306,$A49,'1. Vendas'!$D$7:$D$306))</f>
        <v/>
      </c>
      <c r="D49" s="19">
        <f>IF($A49="","",SUMIF('1. Vendas'!$B$7:$B$306,$A49,'1. Vendas'!$K$7:$K$306))</f>
        <v/>
      </c>
      <c r="E49" s="25">
        <f>IF($A49="","",SUMIF('1. Vendas'!$B$7:$B$306,$A49,'1. Vendas'!$M$7:$M$306))</f>
        <v/>
      </c>
      <c r="F49" s="33">
        <f>IF($A49="","",IFERROR(MAXIFS('1. Vendas'!$A$7:$A$306,'1. Vendas'!$B$7:$B$306,$A49),""))</f>
        <v/>
      </c>
      <c r="G49" s="34">
        <f>IF($A49="","",SUMIFS('1. Vendas'!$K$7:$K$306,'1. Vendas'!$B$7:$B$306,$A49,'1. Vendas'!$G$7:$G$306,"Pendente"))</f>
        <v/>
      </c>
    </row>
    <row r="50">
      <c r="A50" s="6" t="n"/>
      <c r="B50" s="32">
        <f>IF($A50="","",COUNTIF('1. Vendas'!$B$7:$B$306,$A50))</f>
        <v/>
      </c>
      <c r="C50" s="24">
        <f>IF($A50="","",SUMIF('1. Vendas'!$B$7:$B$306,$A50,'1. Vendas'!$D$7:$D$306))</f>
        <v/>
      </c>
      <c r="D50" s="19">
        <f>IF($A50="","",SUMIF('1. Vendas'!$B$7:$B$306,$A50,'1. Vendas'!$K$7:$K$306))</f>
        <v/>
      </c>
      <c r="E50" s="25">
        <f>IF($A50="","",SUMIF('1. Vendas'!$B$7:$B$306,$A50,'1. Vendas'!$M$7:$M$306))</f>
        <v/>
      </c>
      <c r="F50" s="33">
        <f>IF($A50="","",IFERROR(MAXIFS('1. Vendas'!$A$7:$A$306,'1. Vendas'!$B$7:$B$306,$A50),""))</f>
        <v/>
      </c>
      <c r="G50" s="34">
        <f>IF($A50="","",SUMIFS('1. Vendas'!$K$7:$K$306,'1. Vendas'!$B$7:$B$306,$A50,'1. Vendas'!$G$7:$G$306,"Pendente"))</f>
        <v/>
      </c>
    </row>
    <row r="51">
      <c r="A51" s="6" t="n"/>
      <c r="B51" s="32">
        <f>IF($A51="","",COUNTIF('1. Vendas'!$B$7:$B$306,$A51))</f>
        <v/>
      </c>
      <c r="C51" s="24">
        <f>IF($A51="","",SUMIF('1. Vendas'!$B$7:$B$306,$A51,'1. Vendas'!$D$7:$D$306))</f>
        <v/>
      </c>
      <c r="D51" s="19">
        <f>IF($A51="","",SUMIF('1. Vendas'!$B$7:$B$306,$A51,'1. Vendas'!$K$7:$K$306))</f>
        <v/>
      </c>
      <c r="E51" s="25">
        <f>IF($A51="","",SUMIF('1. Vendas'!$B$7:$B$306,$A51,'1. Vendas'!$M$7:$M$306))</f>
        <v/>
      </c>
      <c r="F51" s="33">
        <f>IF($A51="","",IFERROR(MAXIFS('1. Vendas'!$A$7:$A$306,'1. Vendas'!$B$7:$B$306,$A51),""))</f>
        <v/>
      </c>
      <c r="G51" s="34">
        <f>IF($A51="","",SUMIFS('1. Vendas'!$K$7:$K$306,'1. Vendas'!$B$7:$B$306,$A51,'1. Vendas'!$G$7:$G$306,"Pendente"))</f>
        <v/>
      </c>
    </row>
    <row r="52">
      <c r="A52" s="6" t="n"/>
      <c r="B52" s="32">
        <f>IF($A52="","",COUNTIF('1. Vendas'!$B$7:$B$306,$A52))</f>
        <v/>
      </c>
      <c r="C52" s="24">
        <f>IF($A52="","",SUMIF('1. Vendas'!$B$7:$B$306,$A52,'1. Vendas'!$D$7:$D$306))</f>
        <v/>
      </c>
      <c r="D52" s="19">
        <f>IF($A52="","",SUMIF('1. Vendas'!$B$7:$B$306,$A52,'1. Vendas'!$K$7:$K$306))</f>
        <v/>
      </c>
      <c r="E52" s="25">
        <f>IF($A52="","",SUMIF('1. Vendas'!$B$7:$B$306,$A52,'1. Vendas'!$M$7:$M$306))</f>
        <v/>
      </c>
      <c r="F52" s="33">
        <f>IF($A52="","",IFERROR(MAXIFS('1. Vendas'!$A$7:$A$306,'1. Vendas'!$B$7:$B$306,$A52),""))</f>
        <v/>
      </c>
      <c r="G52" s="34">
        <f>IF($A52="","",SUMIFS('1. Vendas'!$K$7:$K$306,'1. Vendas'!$B$7:$B$306,$A52,'1. Vendas'!$G$7:$G$306,"Pendente"))</f>
        <v/>
      </c>
    </row>
    <row r="53">
      <c r="A53" s="6" t="n"/>
      <c r="B53" s="32">
        <f>IF($A53="","",COUNTIF('1. Vendas'!$B$7:$B$306,$A53))</f>
        <v/>
      </c>
      <c r="C53" s="24">
        <f>IF($A53="","",SUMIF('1. Vendas'!$B$7:$B$306,$A53,'1. Vendas'!$D$7:$D$306))</f>
        <v/>
      </c>
      <c r="D53" s="19">
        <f>IF($A53="","",SUMIF('1. Vendas'!$B$7:$B$306,$A53,'1. Vendas'!$K$7:$K$306))</f>
        <v/>
      </c>
      <c r="E53" s="25">
        <f>IF($A53="","",SUMIF('1. Vendas'!$B$7:$B$306,$A53,'1. Vendas'!$M$7:$M$306))</f>
        <v/>
      </c>
      <c r="F53" s="33">
        <f>IF($A53="","",IFERROR(MAXIFS('1. Vendas'!$A$7:$A$306,'1. Vendas'!$B$7:$B$306,$A53),""))</f>
        <v/>
      </c>
      <c r="G53" s="34">
        <f>IF($A53="","",SUMIFS('1. Vendas'!$K$7:$K$306,'1. Vendas'!$B$7:$B$306,$A53,'1. Vendas'!$G$7:$G$306,"Pendente"))</f>
        <v/>
      </c>
    </row>
    <row r="54">
      <c r="A54" s="6" t="n"/>
      <c r="B54" s="32">
        <f>IF($A54="","",COUNTIF('1. Vendas'!$B$7:$B$306,$A54))</f>
        <v/>
      </c>
      <c r="C54" s="24">
        <f>IF($A54="","",SUMIF('1. Vendas'!$B$7:$B$306,$A54,'1. Vendas'!$D$7:$D$306))</f>
        <v/>
      </c>
      <c r="D54" s="19">
        <f>IF($A54="","",SUMIF('1. Vendas'!$B$7:$B$306,$A54,'1. Vendas'!$K$7:$K$306))</f>
        <v/>
      </c>
      <c r="E54" s="25">
        <f>IF($A54="","",SUMIF('1. Vendas'!$B$7:$B$306,$A54,'1. Vendas'!$M$7:$M$306))</f>
        <v/>
      </c>
      <c r="F54" s="33">
        <f>IF($A54="","",IFERROR(MAXIFS('1. Vendas'!$A$7:$A$306,'1. Vendas'!$B$7:$B$306,$A54),""))</f>
        <v/>
      </c>
      <c r="G54" s="34">
        <f>IF($A54="","",SUMIFS('1. Vendas'!$K$7:$K$306,'1. Vendas'!$B$7:$B$306,$A54,'1. Vendas'!$G$7:$G$306,"Pendente"))</f>
        <v/>
      </c>
    </row>
    <row r="55">
      <c r="A55" s="6" t="n"/>
      <c r="B55" s="32">
        <f>IF($A55="","",COUNTIF('1. Vendas'!$B$7:$B$306,$A55))</f>
        <v/>
      </c>
      <c r="C55" s="24">
        <f>IF($A55="","",SUMIF('1. Vendas'!$B$7:$B$306,$A55,'1. Vendas'!$D$7:$D$306))</f>
        <v/>
      </c>
      <c r="D55" s="19">
        <f>IF($A55="","",SUMIF('1. Vendas'!$B$7:$B$306,$A55,'1. Vendas'!$K$7:$K$306))</f>
        <v/>
      </c>
      <c r="E55" s="25">
        <f>IF($A55="","",SUMIF('1. Vendas'!$B$7:$B$306,$A55,'1. Vendas'!$M$7:$M$306))</f>
        <v/>
      </c>
      <c r="F55" s="33">
        <f>IF($A55="","",IFERROR(MAXIFS('1. Vendas'!$A$7:$A$306,'1. Vendas'!$B$7:$B$306,$A55),""))</f>
        <v/>
      </c>
      <c r="G55" s="34">
        <f>IF($A55="","",SUMIFS('1. Vendas'!$K$7:$K$306,'1. Vendas'!$B$7:$B$306,$A55,'1. Vendas'!$G$7:$G$306,"Pendente"))</f>
        <v/>
      </c>
    </row>
    <row r="57">
      <c r="A57" s="2" t="inlineStr">
        <is>
          <t>Escreva o nome sempre igual nas duas abas - 'Ana' e 'ana maria' contam como clientes diferentes.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33C00"/>
    <outlinePr summaryBelow="1" summaryRight="1"/>
    <pageSetUpPr/>
  </sheetPr>
  <dimension ref="A1:E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12" customWidth="1" min="5" max="5"/>
  </cols>
  <sheetData>
    <row r="1">
      <c r="A1" s="1" t="inlineStr">
        <is>
          <t>PRODUTOS À VENDA</t>
        </is>
      </c>
    </row>
    <row r="2">
      <c r="A2" s="2" t="inlineStr">
        <is>
          <t>O custo por pote vem da planilha de custos (aba Resumo). Se o preço dos insumos mudar lá, atualize aqui.</t>
        </is>
      </c>
    </row>
    <row r="3">
      <c r="A3" s="3" t="inlineStr">
        <is>
          <t>AMARELO = você edita     |     CINZA = calculado automaticamente</t>
        </is>
      </c>
    </row>
    <row r="5">
      <c r="A5" s="4" t="inlineStr">
        <is>
          <t>Produto</t>
        </is>
      </c>
      <c r="B5" s="4" t="inlineStr">
        <is>
          <t>Custo por pote (R$)</t>
        </is>
      </c>
      <c r="C5" s="4" t="inlineStr">
        <is>
          <t>Preço de venda (R$)</t>
        </is>
      </c>
      <c r="D5" s="4" t="inlineStr">
        <is>
          <t>Lucro por pote (R$)</t>
        </is>
      </c>
      <c r="E5" s="4" t="inlineStr">
        <is>
          <t>Margem</t>
        </is>
      </c>
    </row>
    <row r="6">
      <c r="A6" s="27" t="inlineStr">
        <is>
          <t>Café</t>
        </is>
      </c>
      <c r="B6" s="8" t="n">
        <v>7.26</v>
      </c>
      <c r="C6" s="8" t="n">
        <v>25</v>
      </c>
      <c r="D6" s="10">
        <f>IF($A6="","",$C6-$B6)</f>
        <v/>
      </c>
      <c r="E6" s="35">
        <f>IF(OR($A6="",$C6=0),"",$D6/$C6)</f>
        <v/>
      </c>
    </row>
    <row r="7">
      <c r="A7" s="27" t="inlineStr">
        <is>
          <t>Cappuccino</t>
        </is>
      </c>
      <c r="B7" s="8" t="n">
        <v>9.01</v>
      </c>
      <c r="C7" s="8" t="n">
        <v>25</v>
      </c>
      <c r="D7" s="10">
        <f>IF($A7="","",$C7-$B7)</f>
        <v/>
      </c>
      <c r="E7" s="35">
        <f>IF(OR($A7="",$C7=0),"",$D7/$C7)</f>
        <v/>
      </c>
    </row>
    <row r="8">
      <c r="A8" s="27" t="n"/>
      <c r="B8" s="8" t="n"/>
      <c r="C8" s="8" t="n"/>
      <c r="D8" s="10">
        <f>IF($A8="","",$C8-$B8)</f>
        <v/>
      </c>
      <c r="E8" s="35">
        <f>IF(OR($A8="",$C8=0),"",$D8/$C8)</f>
        <v/>
      </c>
    </row>
    <row r="9">
      <c r="A9" s="27" t="n"/>
      <c r="B9" s="8" t="n"/>
      <c r="C9" s="8" t="n"/>
      <c r="D9" s="10">
        <f>IF($A9="","",$C9-$B9)</f>
        <v/>
      </c>
      <c r="E9" s="35">
        <f>IF(OR($A9="",$C9=0),"",$D9/$C9)</f>
        <v/>
      </c>
    </row>
    <row r="10">
      <c r="A10" s="27" t="n"/>
      <c r="B10" s="8" t="n"/>
      <c r="C10" s="8" t="n"/>
      <c r="D10" s="10">
        <f>IF($A10="","",$C10-$B10)</f>
        <v/>
      </c>
      <c r="E10" s="35">
        <f>IF(OR($A10="",$C10=0),"",$D10/$C10)</f>
        <v/>
      </c>
    </row>
    <row r="11">
      <c r="A11" s="27" t="n"/>
      <c r="B11" s="8" t="n"/>
      <c r="C11" s="8" t="n"/>
      <c r="D11" s="10">
        <f>IF($A11="","",$C11-$B11)</f>
        <v/>
      </c>
      <c r="E11" s="35">
        <f>IF(OR($A11="",$C11=0),"",$D11/$C11)</f>
        <v/>
      </c>
    </row>
    <row r="12">
      <c r="A12" s="27" t="n"/>
      <c r="B12" s="8" t="n"/>
      <c r="C12" s="8" t="n"/>
      <c r="D12" s="10">
        <f>IF($A12="","",$C12-$B12)</f>
        <v/>
      </c>
      <c r="E12" s="35">
        <f>IF(OR($A12="",$C12=0),"",$D12/$C12)</f>
        <v/>
      </c>
    </row>
    <row r="13">
      <c r="A13" s="27" t="n"/>
      <c r="B13" s="8" t="n"/>
      <c r="C13" s="8" t="n"/>
      <c r="D13" s="10">
        <f>IF($A13="","",$C13-$B13)</f>
        <v/>
      </c>
      <c r="E13" s="35">
        <f>IF(OR($A13="",$C13=0),"",$D13/$C13)</f>
        <v/>
      </c>
    </row>
    <row r="14">
      <c r="A14" s="27" t="n"/>
      <c r="B14" s="8" t="n"/>
      <c r="C14" s="8" t="n"/>
      <c r="D14" s="10">
        <f>IF($A14="","",$C14-$B14)</f>
        <v/>
      </c>
      <c r="E14" s="35">
        <f>IF(OR($A14="",$C14=0),"",$D14/$C14)</f>
        <v/>
      </c>
    </row>
    <row r="15">
      <c r="A15" s="27" t="n"/>
      <c r="B15" s="8" t="n"/>
      <c r="C15" s="8" t="n"/>
      <c r="D15" s="10">
        <f>IF($A15="","",$C15-$B15)</f>
        <v/>
      </c>
      <c r="E15" s="35">
        <f>IF(OR($A15="",$C15=0),"",$D15/$C15)</f>
        <v/>
      </c>
    </row>
    <row r="16">
      <c r="A16" s="27" t="n"/>
      <c r="B16" s="8" t="n"/>
      <c r="C16" s="8" t="n"/>
      <c r="D16" s="10">
        <f>IF($A16="","",$C16-$B16)</f>
        <v/>
      </c>
      <c r="E16" s="35">
        <f>IF(OR($A16="",$C16=0),"",$D16/$C16)</f>
        <v/>
      </c>
    </row>
    <row r="17">
      <c r="A17" s="27" t="n"/>
      <c r="B17" s="8" t="n"/>
      <c r="C17" s="8" t="n"/>
      <c r="D17" s="10">
        <f>IF($A17="","",$C17-$B17)</f>
        <v/>
      </c>
      <c r="E17" s="35">
        <f>IF(OR($A17="",$C17=0),"",$D17/$C17)</f>
        <v/>
      </c>
    </row>
    <row r="18">
      <c r="A18" s="27" t="n"/>
      <c r="B18" s="8" t="n"/>
      <c r="C18" s="8" t="n"/>
      <c r="D18" s="10">
        <f>IF($A18="","",$C18-$B18)</f>
        <v/>
      </c>
      <c r="E18" s="35">
        <f>IF(OR($A18="",$C18=0),"",$D18/$C18)</f>
        <v/>
      </c>
    </row>
    <row r="19">
      <c r="A19" s="27" t="n"/>
      <c r="B19" s="8" t="n"/>
      <c r="C19" s="8" t="n"/>
      <c r="D19" s="10">
        <f>IF($A19="","",$C19-$B19)</f>
        <v/>
      </c>
      <c r="E19" s="35">
        <f>IF(OR($A19="",$C19=0),"",$D19/$C19)</f>
        <v/>
      </c>
    </row>
    <row r="20">
      <c r="A20" s="27" t="n"/>
      <c r="B20" s="8" t="n"/>
      <c r="C20" s="8" t="n"/>
      <c r="D20" s="10">
        <f>IF($A20="","",$C20-$B20)</f>
        <v/>
      </c>
      <c r="E20" s="35">
        <f>IF(OR($A20="",$C20=0),"",$D20/$C20)</f>
        <v/>
      </c>
    </row>
    <row r="21">
      <c r="A21" s="27" t="n"/>
      <c r="B21" s="8" t="n"/>
      <c r="C21" s="8" t="n"/>
      <c r="D21" s="10">
        <f>IF($A21="","",$C21-$B21)</f>
        <v/>
      </c>
      <c r="E21" s="35">
        <f>IF(OR($A21="",$C21=0),"",$D21/$C21)</f>
        <v/>
      </c>
    </row>
    <row r="22">
      <c r="A22" s="27" t="n"/>
      <c r="B22" s="8" t="n"/>
      <c r="C22" s="8" t="n"/>
      <c r="D22" s="10">
        <f>IF($A22="","",$C22-$B22)</f>
        <v/>
      </c>
      <c r="E22" s="35">
        <f>IF(OR($A22="",$C22=0),"",$D22/$C22)</f>
        <v/>
      </c>
    </row>
    <row r="23">
      <c r="A23" s="27" t="n"/>
      <c r="B23" s="8" t="n"/>
      <c r="C23" s="8" t="n"/>
      <c r="D23" s="10">
        <f>IF($A23="","",$C23-$B23)</f>
        <v/>
      </c>
      <c r="E23" s="35">
        <f>IF(OR($A23="",$C23=0),"",$D23/$C23)</f>
        <v/>
      </c>
    </row>
    <row r="24">
      <c r="A24" s="27" t="n"/>
      <c r="B24" s="8" t="n"/>
      <c r="C24" s="8" t="n"/>
      <c r="D24" s="10">
        <f>IF($A24="","",$C24-$B24)</f>
        <v/>
      </c>
      <c r="E24" s="35">
        <f>IF(OR($A24="",$C24=0),"",$D24/$C24)</f>
        <v/>
      </c>
    </row>
    <row r="25">
      <c r="A25" s="27" t="n"/>
      <c r="B25" s="8" t="n"/>
      <c r="C25" s="8" t="n"/>
      <c r="D25" s="10">
        <f>IF($A25="","",$C25-$B25)</f>
        <v/>
      </c>
      <c r="E25" s="35">
        <f>IF(OR($A25="",$C25=0),"",$D25/$C25)</f>
        <v/>
      </c>
    </row>
    <row r="27">
      <c r="A27" s="2" t="inlineStr">
        <is>
          <t>Pode cadastrar produtos novos nas linhas vazias (kit com 2 potes, tamanho menor, edição de Natal...) - eles aparecem na listinha da aba de vendas.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1" t="inlineStr">
        <is>
          <t>OPÇÕES DAS LISTINHAS</t>
        </is>
      </c>
    </row>
    <row r="2">
      <c r="A2" s="4" t="inlineStr">
        <is>
          <t>Status</t>
        </is>
      </c>
      <c r="B2" s="4" t="inlineStr">
        <is>
          <t>Pagamento</t>
        </is>
      </c>
      <c r="C2" s="4" t="inlineStr">
        <is>
          <t>Canal</t>
        </is>
      </c>
    </row>
    <row r="3">
      <c r="A3" s="6" t="inlineStr">
        <is>
          <t>Pago</t>
        </is>
      </c>
      <c r="B3" s="6" t="inlineStr">
        <is>
          <t>Pix</t>
        </is>
      </c>
      <c r="C3" s="6" t="inlineStr">
        <is>
          <t>WhatsApp</t>
        </is>
      </c>
    </row>
    <row r="4">
      <c r="A4" s="6" t="inlineStr">
        <is>
          <t>Pendente</t>
        </is>
      </c>
      <c r="B4" s="6" t="inlineStr">
        <is>
          <t>Dinheiro</t>
        </is>
      </c>
      <c r="C4" s="6" t="inlineStr">
        <is>
          <t>Instagram</t>
        </is>
      </c>
    </row>
    <row r="5">
      <c r="B5" s="6" t="inlineStr">
        <is>
          <t>Cartão de débito</t>
        </is>
      </c>
      <c r="C5" s="6" t="inlineStr">
        <is>
          <t>Feira</t>
        </is>
      </c>
    </row>
    <row r="6">
      <c r="B6" s="6" t="inlineStr">
        <is>
          <t>Cartão de crédito</t>
        </is>
      </c>
      <c r="C6" s="6" t="inlineStr">
        <is>
          <t>Indicação</t>
        </is>
      </c>
    </row>
    <row r="7">
      <c r="B7" s="6" t="inlineStr">
        <is>
          <t>Transferência</t>
        </is>
      </c>
      <c r="C7" s="6" t="inlineStr">
        <is>
          <t>Presente</t>
        </is>
      </c>
    </row>
    <row r="8">
      <c r="B8" s="6" t="inlineStr">
        <is>
          <t>Outro</t>
        </is>
      </c>
      <c r="C8" s="6" t="inlineStr">
        <is>
          <t>Outro</t>
        </is>
      </c>
    </row>
    <row r="11">
      <c r="A11" s="2" t="inlineStr">
        <is>
          <t>Pode trocar ou acrescentar opções aqui - elas aparecem nas listinhas da aba de vendas.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2026-09-02T00:26:45Z</dcterms:created>
  <dcterms:modified xsi:type="dcterms:W3CDTF">2026-09-02T00:26:46Z</dcterms:modified>
</cp:coreProperties>
</file>